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Dashboard" sheetId="2" state="visible" r:id="rId4"/>
    <sheet name="Critical Writing" sheetId="3" state="visible" r:id="rId5"/>
    <sheet name="NRHM Special Issue" sheetId="4" state="visible" r:id="rId6"/>
    <sheet name="Creative Works" sheetId="5" state="visible" r:id="rId7"/>
    <sheet name="Scholars" sheetId="6" state="visible" r:id="rId8"/>
    <sheet name="Scholar Activities" sheetId="7" state="visible" r:id="rId9"/>
    <sheet name="Verification Log" sheetId="8" state="visible" r:id="rId10"/>
    <sheet name="Lists" sheetId="9" state="hidden" r:id="rId11"/>
  </sheets>
  <definedNames>
    <definedName function="false" hidden="true" localSheetId="4" name="_xlnm._FilterDatabase" vbProcedure="false">'Creative Works'!$A$4:$I$25</definedName>
    <definedName function="false" hidden="true" localSheetId="2" name="_xlnm._FilterDatabase" vbProcedure="false">'Critical Writing'!$A$4:$X$54</definedName>
    <definedName function="false" hidden="true" localSheetId="6" name="_xlnm._FilterDatabase" vbProcedure="false">'Scholar Activities'!$A$4:$F$33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<sst xmlns="http://schemas.openxmlformats.org/spreadsheetml/2006/main" count="1669" uniqueCount="1053">
  <si>
    <t xml:space="preserve">IELSR — Indian Electronic Literature Scholarship Repository</t>
  </si>
  <si>
    <t xml:space="preserve">A CELL-style bibliographic database of critical writing on electronic literature in India and by Indian scholars. Release 1.0 · compiled 25 September 2026.</t>
  </si>
  <si>
    <t xml:space="preserve">Purpose</t>
  </si>
  <si>
    <t xml:space="preserve">To give the field of Indian e-lit a citable, filterable record of its critical writing, modelled on the Consortium on Electronic Literature (CELL) and ELMCIP Knowledge Base practice of treating critical writing, creative works and people as linked records.</t>
  </si>
  <si>
    <t xml:space="preserve">Scope</t>
  </si>
  <si>
    <t xml:space="preserve">(1) Scholarship on e-lit and digital literatures in India; (2) e-lit scholarship by Indian scholars on global works; (3) a small 'Related' tranche of Indian DH infrastructure writing that the e-lit literature depends on. Games and platform literature are included where authors frame them as digital literature.</t>
  </si>
  <si>
    <t xml:space="preserve">Core corpus</t>
  </si>
  <si>
    <t xml:space="preserve">Works by Shanmugapriya T, Samya Brata Roy, K. Kavitha, Justy Joseph, Simran Bhimjyani, Mehulkumar Desai, Prakruti Bhatt, Kavisha Alagiya; Souvik Mukherjee (2017 article only, as instructed); and every identified article in NRHM vol. 32 no. 2–3, 'India, Digital, LiteratureS: forms and (dis)contents'.</t>
  </si>
  <si>
    <t xml:space="preserve">Sheets</t>
  </si>
  <si>
    <t xml:space="preserve">Critical Writing = master records (IEL-###). NRHM Special Issue = table of contents. Creative Works = works discussed (W-##), cross-referenced to records. Scholars = authority file with live record counts. Dashboard = formula-driven statistics. Verification Log = leads, conflicts and exclusions.</t>
  </si>
  <si>
    <t xml:space="preserve">Record status</t>
  </si>
  <si>
    <t xml:space="preserve">Verified = checked against publisher/author page. Partially verified = core facts confirmed, one or more fields (pages, issue, DOI) unconfirmed. To verify = citation lead only.</t>
  </si>
  <si>
    <t xml:space="preserve">Abstracts</t>
  </si>
  <si>
    <t xml:space="preserve">All abstracts are the cataloguer's own summaries, written for discovery. Consult the original for quotation.</t>
  </si>
  <si>
    <t xml:space="preserve">Known conflicts</t>
  </si>
  <si>
    <t xml:space="preserve">IEL-003 (JCLA vol. 42 issue and pages differ across sources); IEL-008 (2023 vs 2024 date); issue pagination for three NRHM articles. Details in each record's Notes and the Verification Log.</t>
  </si>
  <si>
    <t xml:space="preserve">Not harvested</t>
  </si>
  <si>
    <t xml:space="preserve">ELMCIP's 'Indian Electronic Literature' collection and some ResearchGate pages refused automated access; items there should be cross-checked manually.</t>
  </si>
  <si>
    <t xml:space="preserve">How to extend</t>
  </si>
  <si>
    <t xml:space="preserve">Add a row to Critical Writing using the next IEL number and the dropdowns for Type, Scope and Status. Dashboard and Scholars counts update automatically.</t>
  </si>
  <si>
    <t xml:space="preserve">Dashboard</t>
  </si>
  <si>
    <t xml:space="preserve">All figures are formulas over the Critical Writing sheet and update as records are added.</t>
  </si>
  <si>
    <t xml:space="preserve">Total records</t>
  </si>
  <si>
    <t xml:space="preserve">Critical Writing records</t>
  </si>
  <si>
    <t xml:space="preserve">Verified</t>
  </si>
  <si>
    <t xml:space="preserve">Partially verified</t>
  </si>
  <si>
    <t xml:space="preserve">Creative works indexed</t>
  </si>
  <si>
    <t xml:space="preserve">Records in NRHM special issue</t>
  </si>
  <si>
    <t xml:space="preserve">By scope category</t>
  </si>
  <si>
    <t xml:space="preserve">Category</t>
  </si>
  <si>
    <t xml:space="preserve">Records</t>
  </si>
  <si>
    <t xml:space="preserve">Share</t>
  </si>
  <si>
    <t xml:space="preserve">Adjacent: games &amp; digital narrative</t>
  </si>
  <si>
    <t xml:space="preserve">Global e-lit (by Indian scholars)</t>
  </si>
  <si>
    <t xml:space="preserve">Indian e-lit: anthologies &amp; curation</t>
  </si>
  <si>
    <t xml:space="preserve">Indian e-lit: creative practice &amp; documentation</t>
  </si>
  <si>
    <t xml:space="preserve">Indian e-lit: eco-e-lit</t>
  </si>
  <si>
    <t xml:space="preserve">Indian e-lit: field formation</t>
  </si>
  <si>
    <t xml:space="preserve">Indian e-lit: forms &amp; genres</t>
  </si>
  <si>
    <t xml:space="preserve">Indian e-lit: institutions &amp; publishing</t>
  </si>
  <si>
    <t xml:space="preserve">Indian e-lit: marginal &amp; vernacular voices</t>
  </si>
  <si>
    <t xml:space="preserve">Indian e-lit: pedagogy</t>
  </si>
  <si>
    <t xml:space="preserve">Related: DH infrastructure</t>
  </si>
  <si>
    <t xml:space="preserve">Theory of e-lit (by Indian scholars)</t>
  </si>
  <si>
    <t xml:space="preserve">By year</t>
  </si>
  <si>
    <t xml:space="preserve">By publication type</t>
  </si>
  <si>
    <t xml:space="preserve">Anthology (edited collection of creative works)</t>
  </si>
  <si>
    <t xml:space="preserve">Blog post</t>
  </si>
  <si>
    <t xml:space="preserve">Book chapter</t>
  </si>
  <si>
    <t xml:space="preserve">Book review</t>
  </si>
  <si>
    <t xml:space="preserve">Conference panel</t>
  </si>
  <si>
    <t xml:space="preserve">Conference presentation</t>
  </si>
  <si>
    <t xml:space="preserve">Critical essay (exhibition criticism)</t>
  </si>
  <si>
    <t xml:space="preserve">Editorial introduction</t>
  </si>
  <si>
    <t xml:space="preserve">Glossary entry</t>
  </si>
  <si>
    <t xml:space="preserve">Interview</t>
  </si>
  <si>
    <t xml:space="preserve">Journal article</t>
  </si>
  <si>
    <t xml:space="preserve">Journal article (conference gathering)</t>
  </si>
  <si>
    <t xml:space="preserve">Journal article (peer-reviewed conference proceeding)</t>
  </si>
  <si>
    <t xml:space="preserve">Keynote</t>
  </si>
  <si>
    <t xml:space="preserve">Magazine article</t>
  </si>
  <si>
    <t xml:space="preserve">Review (of a creative work)</t>
  </si>
  <si>
    <t xml:space="preserve">Review (of a digital project)</t>
  </si>
  <si>
    <t xml:space="preserve">Workshop</t>
  </si>
  <si>
    <t xml:space="preserve">Critical Writing — master records</t>
  </si>
  <si>
    <t xml:space="preserve">One row per publication. Filter by Scope, Scholar cluster, Year or Status.</t>
  </si>
  <si>
    <t xml:space="preserve">Record ID</t>
  </si>
  <si>
    <t xml:space="preserve">Author(s)</t>
  </si>
  <si>
    <t xml:space="preserve">Year</t>
  </si>
  <si>
    <t xml:space="preserve">Date / online</t>
  </si>
  <si>
    <t xml:space="preserve">Title</t>
  </si>
  <si>
    <t xml:space="preserve">Publication type</t>
  </si>
  <si>
    <t xml:space="preserve">Container (journal / book / event)</t>
  </si>
  <si>
    <t xml:space="preserve">Editors / section</t>
  </si>
  <si>
    <t xml:space="preserve">Vol.</t>
  </si>
  <si>
    <t xml:space="preserve">Issue</t>
  </si>
  <si>
    <t xml:space="preserve">Pages</t>
  </si>
  <si>
    <t xml:space="preserve">Publisher</t>
  </si>
  <si>
    <t xml:space="preserve">DOI</t>
  </si>
  <si>
    <t xml:space="preserve">URL</t>
  </si>
  <si>
    <t xml:space="preserve">Abstract (cataloguer summary)</t>
  </si>
  <si>
    <t xml:space="preserve">Keywords / tags</t>
  </si>
  <si>
    <t xml:space="preserve">Creative works discussed</t>
  </si>
  <si>
    <t xml:space="preserve">Scope category</t>
  </si>
  <si>
    <t xml:space="preserve">Scholar cluster</t>
  </si>
  <si>
    <t xml:space="preserve">Review status</t>
  </si>
  <si>
    <t xml:space="preserve">Access</t>
  </si>
  <si>
    <t xml:space="preserve">Verification source</t>
  </si>
  <si>
    <t xml:space="preserve">Cataloguer notes</t>
  </si>
  <si>
    <t xml:space="preserve">IEL-001</t>
  </si>
  <si>
    <t xml:space="preserve">Mukherjee, Souvik</t>
  </si>
  <si>
    <t xml:space="preserve">Spring 2017</t>
  </si>
  <si>
    <t xml:space="preserve">“No Country for E-Lit?” – India and Electronic Literature</t>
  </si>
  <si>
    <t xml:space="preserve">Hyperrhiz: New Media Cultures</t>
  </si>
  <si>
    <t xml:space="preserve">Special Topic: Globalizing Electronic Literature</t>
  </si>
  <si>
    <t xml:space="preserve">16</t>
  </si>
  <si>
    <t xml:space="preserve">Hyperrhiz (NCSU)</t>
  </si>
  <si>
    <t xml:space="preserve">10.20415/hyp/016.e08</t>
  </si>
  <si>
    <t xml:space="preserve">https://hyperrhiz.io/hyperrhiz16/essays/8-mukherjee-absent-presence.html</t>
  </si>
  <si>
    <t xml:space="preserve">Foundational diagnosis of the relative absence of e-lit in India. Reads the Digital India programme's omission of digital culture, the late arrival of computing and the Internet, cost barriers to Storyspace-era hypertexts, and STEM-oriented schooling as causes; locates proto-nonlinear precedents in Kavad, Hari Katha and dastangoi, and flags Twine and DH courses as openings.</t>
  </si>
  <si>
    <t xml:space="preserve">absence; Digital India; interactive fiction; nonlinearity; Kavad; dastangoi; pedagogy; Twine</t>
  </si>
  <si>
    <t xml:space="preserve">We Are Angry (Prickett 2015); Unrest; Somewhere (Studio Oleomingus); Kolaveri Di; Hok Kolorob</t>
  </si>
  <si>
    <t xml:space="preserve">Mukherjee (2017 only, per brief)</t>
  </si>
  <si>
    <t xml:space="preserve">Peer-reviewed journal</t>
  </si>
  <si>
    <t xml:space="preserve">Open access</t>
  </si>
  <si>
    <t xml:space="preserve">Publisher page (hyperrhiz.io), fetched 25 Sep 2026</t>
  </si>
  <si>
    <t xml:space="preserve">Per brief, only this Mukherjee item is catalogued. Cited as a baseline by nearly every later record.</t>
  </si>
  <si>
    <t xml:space="preserve">IEL-002</t>
  </si>
  <si>
    <t xml:space="preserve">Shanmugapriya T; Menon, Nirmala</t>
  </si>
  <si>
    <t xml:space="preserve">Aug 2018</t>
  </si>
  <si>
    <t xml:space="preserve">Locating New Literary Practices in Indian Digital Spaces</t>
  </si>
  <si>
    <t xml:space="preserve">MATLIT: Materialities of Literature</t>
  </si>
  <si>
    <t xml:space="preserve">6</t>
  </si>
  <si>
    <t xml:space="preserve">1</t>
  </si>
  <si>
    <t xml:space="preserve">159–174</t>
  </si>
  <si>
    <t xml:space="preserve">Imprensa da Universidade de Coimbra</t>
  </si>
  <si>
    <t xml:space="preserve">10.14195/2182-8830_6-1_11</t>
  </si>
  <si>
    <t xml:space="preserve">https://impactum-journals.uc.pt/matlit/article/download/2182-8830_6-1_11/4678</t>
  </si>
  <si>
    <t xml:space="preserve">Maps Indian digital literary practices then unrecognised as e-lit (SMS novels, social-media poetry, flash and Twitter fiction) and argues for continuity with multimodal precolonial forms such as Pattachitra, Ragamala painting and Chitra Kavi. Notes India's absence from ELC3.</t>
  </si>
  <si>
    <t xml:space="preserve">SMS novel; twitterfiction; social media narrative; Chitra Kavi; Pattachitra; multimodality; ELC3</t>
  </si>
  <si>
    <t xml:space="preserve">Cloak Room (Ro Gue, SMS novel, 2004)</t>
  </si>
  <si>
    <t xml:space="preserve">Shanmugapriya T</t>
  </si>
  <si>
    <t xml:space="preserve">Peer-reviewed</t>
  </si>
  <si>
    <t xml:space="preserve">Author CV (shanmugapriya.com); Academia.edu record</t>
  </si>
  <si>
    <t xml:space="preserve">Developed from paper at ELO 2017, Universidade Fernando Pessoa, Porto (19–22 Jul 2017). CV gives variant title 'Locating New Literary Practices/Expressions…'.</t>
  </si>
  <si>
    <t xml:space="preserve">IEL-005</t>
  </si>
  <si>
    <t xml:space="preserve">Shanmugapriya T; Campbell, Andy; Menon, Nirmala</t>
  </si>
  <si>
    <t xml:space="preserve">2018</t>
  </si>
  <si>
    <t xml:space="preserve">THANNER KUHAI ‘The Water Cave’ – A VR Poetry Experience</t>
  </si>
  <si>
    <t xml:space="preserve">Digimag</t>
  </si>
  <si>
    <t xml:space="preserve">78</t>
  </si>
  <si>
    <t xml:space="preserve">20–26</t>
  </si>
  <si>
    <t xml:space="preserve">Digicult</t>
  </si>
  <si>
    <t xml:space="preserve">http://www.digicult.it/wp-content/uploads/digimag78.pdf</t>
  </si>
  <si>
    <t xml:space="preserve">Maker's account of a bilingual (Tamil/English) VR poem built with Dreaming Methods; one of the earliest Indian-authored immersive e-lit works to be documented critically.</t>
  </si>
  <si>
    <t xml:space="preserve">VR poetry; Tamil; bilingual e-lit; immersive narrative; practice-based research</t>
  </si>
  <si>
    <t xml:space="preserve">Thanner Kuhai / The Water Cave (Campbell, Shanmugapriya T &amp; Rushfirth, 2018)</t>
  </si>
  <si>
    <t xml:space="preserve">Non-peer-reviewed</t>
  </si>
  <si>
    <t xml:space="preserve">Author CV</t>
  </si>
  <si>
    <t xml:space="preserve">Also presented at DHAI 2018 (IIM Indore) and Languages INTER Networks, Lancaster 2019.</t>
  </si>
  <si>
    <t xml:space="preserve">IEL-003</t>
  </si>
  <si>
    <t xml:space="preserve">2019 (issue dated 2019; posted Oct 2020)</t>
  </si>
  <si>
    <t xml:space="preserve">First and Second Waves of Indian Electronic Literature</t>
  </si>
  <si>
    <t xml:space="preserve">Journal of Comparative Literature and Aesthetics</t>
  </si>
  <si>
    <t xml:space="preserve">42</t>
  </si>
  <si>
    <t xml:space="preserve">3 or 4 — see notes</t>
  </si>
  <si>
    <t xml:space="preserve">51–57 or 63–71 — see notes</t>
  </si>
  <si>
    <t xml:space="preserve">Vishvanatha Kaviraja Institute of Comparative Literature and Aesthetics</t>
  </si>
  <si>
    <t xml:space="preserve">https://jcla.in/wp-content/uploads/2020/10/JCLA-42.4_E-Lit_Nirmala-Menon.pdf</t>
  </si>
  <si>
    <t xml:space="preserve">Proposes an India-specific periodisation: a first wave (2004–2009) of SMS novels with little public or academic reception, followed by a second wave. Argues that Hayles's and Flores's generational models do not map onto Indian timelines.</t>
  </si>
  <si>
    <t xml:space="preserve">periodisation; waves; generations; SMS novel; Hayles; Flores; postcolonial timelines</t>
  </si>
  <si>
    <t xml:space="preserve">Cloak Room (2004); Neelakannukal (2006); Deaf Heaven (2009)</t>
  </si>
  <si>
    <t xml:space="preserve">Open access (PDF)</t>
  </si>
  <si>
    <t xml:space="preserve">Author CV; ResearchGate record; citing works</t>
  </si>
  <si>
    <t xml:space="preserve">CITATION CONFLICT: author CV says vol.42 no.3 (2019) pp.51–57; Roy (IEL-013) cites vol.42 no.4, pp.63–71; PDF filename says 42.4; one ELO abstract dates it 2020. Check the printed issue before citing.</t>
  </si>
  <si>
    <t xml:space="preserve">IEL-004</t>
  </si>
  <si>
    <t xml:space="preserve">Shanmugapriya T; Menon, Nirmala; Campbell, Andy</t>
  </si>
  <si>
    <t xml:space="preserve">Online Nov 2018; print Sep 2019</t>
  </si>
  <si>
    <t xml:space="preserve">An Introduction to the Functioning Process of Embedded Paratext of Digital Literature: Technoeikon of Digital Poetry</t>
  </si>
  <si>
    <t xml:space="preserve">Digital Scholarship in the Humanities</t>
  </si>
  <si>
    <t xml:space="preserve">34</t>
  </si>
  <si>
    <t xml:space="preserve">3</t>
  </si>
  <si>
    <t xml:space="preserve">646–660</t>
  </si>
  <si>
    <t xml:space="preserve">Oxford University Press</t>
  </si>
  <si>
    <t xml:space="preserve">10.1093/llc/fqy064</t>
  </si>
  <si>
    <t xml:space="preserve">https://doi.org/10.1093/llc/fqy064</t>
  </si>
  <si>
    <t xml:space="preserve">Coins 'technoeikon' for the embedded paratext of born-digital works (kinetic text, image, sound, interface), traces its lineage through pre-print and print cultures, and tests it on Andy Campbell's Dim O'Gauble, with a response from Campbell.</t>
  </si>
  <si>
    <t xml:space="preserve">technoeikon; paratext; digital poetry; kinetic text; media-specific analysis</t>
  </si>
  <si>
    <t xml:space="preserve">Dim O'Gauble (Andy Campbell, 2007)</t>
  </si>
  <si>
    <t xml:space="preserve">Subscription (author copy on ResearchGate)</t>
  </si>
  <si>
    <t xml:space="preserve">Author CV; DSH DOI</t>
  </si>
  <si>
    <t xml:space="preserve">IEL-033</t>
  </si>
  <si>
    <t xml:space="preserve">2020</t>
  </si>
  <si>
    <t xml:space="preserve">Infrastructure and Social Interaction: Situated Research Practices in Digital Humanities in India</t>
  </si>
  <si>
    <t xml:space="preserve">Digital Humanities Quarterly</t>
  </si>
  <si>
    <t xml:space="preserve">14</t>
  </si>
  <si>
    <t xml:space="preserve">ADHO</t>
  </si>
  <si>
    <t xml:space="preserve">Examines how infrastructure and social interaction shape DH research practice in India; background for the infrastructural arguments in e-lit scholarship.</t>
  </si>
  <si>
    <t xml:space="preserve">infrastructure; situated practice; DH in India</t>
  </si>
  <si>
    <t xml:space="preserve">Included as context, not e-lit proper.</t>
  </si>
  <si>
    <t xml:space="preserve">IEL-034</t>
  </si>
  <si>
    <t xml:space="preserve">Menon, Nirmala; Shanmugapriya T</t>
  </si>
  <si>
    <t xml:space="preserve">Digital humanities in India: Pedagogy, Publishing and Practices</t>
  </si>
  <si>
    <t xml:space="preserve">Exploring Digital Humanities in India</t>
  </si>
  <si>
    <t xml:space="preserve">Kalra, Nidhi; Dodd, Maya</t>
  </si>
  <si>
    <t xml:space="preserve">Routledge</t>
  </si>
  <si>
    <t xml:space="preserve">Surveys DH pedagogy, publishing and practice in India; context for later e-lit pedagogy work.</t>
  </si>
  <si>
    <t xml:space="preserve">DH pedagogy; publishing; India</t>
  </si>
  <si>
    <t xml:space="preserve">Peer-reviewed (edited volume)</t>
  </si>
  <si>
    <t xml:space="preserve">Subscription</t>
  </si>
  <si>
    <t xml:space="preserve">Context only.</t>
  </si>
  <si>
    <t xml:space="preserve">IEL-039</t>
  </si>
  <si>
    <t xml:space="preserve">Ramya, R.; Rukmini, S.</t>
  </si>
  <si>
    <t xml:space="preserve">27 Jun 2021</t>
  </si>
  <si>
    <t xml:space="preserve">Literature in New Media: A Comparative Study of Literary Affordances of Lance Olsen’s “10:01” in Traditional and Digital Medium</t>
  </si>
  <si>
    <t xml:space="preserve">Rupkatha Journal on Interdisciplinary Studies in Humanities</t>
  </si>
  <si>
    <t xml:space="preserve">13</t>
  </si>
  <si>
    <t xml:space="preserve">2</t>
  </si>
  <si>
    <t xml:space="preserve">Rupkatha</t>
  </si>
  <si>
    <t xml:space="preserve">https://rupkatha.com/v13n245/</t>
  </si>
  <si>
    <t xml:space="preserve">Compares the print and digital versions of Olsen's 10:01 to isolate medium-specific literary affordances.</t>
  </si>
  <si>
    <t xml:space="preserve">affordances; print vs digital; media-specific analysis</t>
  </si>
  <si>
    <t xml:space="preserve">10:01 (Lance Olsen &amp; Tim Guthrie)</t>
  </si>
  <si>
    <t xml:space="preserve">Other Indian scholars</t>
  </si>
  <si>
    <t xml:space="preserve">Rupkatha category listing</t>
  </si>
  <si>
    <t xml:space="preserve">IEL-040</t>
  </si>
  <si>
    <t xml:space="preserve">Roy, Gitanjali</t>
  </si>
  <si>
    <t xml:space="preserve">15 Jun 2021</t>
  </si>
  <si>
    <t xml:space="preserve">Performance Space of the Digital Performer/Reader inside Andy Campbell and Judi Alston’s Digital Fiction The Nightingale’s Playground</t>
  </si>
  <si>
    <t xml:space="preserve">https://rupkatha.com/v13n232/</t>
  </si>
  <si>
    <t xml:space="preserve">Treats the reader of a Dreaming Methods digital fiction as a performer and analyses the performance space the work constructs.</t>
  </si>
  <si>
    <t xml:space="preserve">performance; reader as performer; digital fiction; Dreaming Methods</t>
  </si>
  <si>
    <t xml:space="preserve">The Nightingale's Playground (Campbell &amp; Alston)</t>
  </si>
  <si>
    <t xml:space="preserve">Issue number not shown in listing.</t>
  </si>
  <si>
    <t xml:space="preserve">IEL-006</t>
  </si>
  <si>
    <t xml:space="preserve">Shanmugapriya T; Sutton, Deborah</t>
  </si>
  <si>
    <t xml:space="preserve">Feb 2022</t>
  </si>
  <si>
    <t xml:space="preserve">Electronic literature as a method and as a disseminative tool for environmental calamity through a case study of digital poetry ‘Lost water! Remains Scape?’</t>
  </si>
  <si>
    <t xml:space="preserve">electronic book review</t>
  </si>
  <si>
    <t xml:space="preserve">Gathering: Platform [Post?] Pandemic (ELO 2021)</t>
  </si>
  <si>
    <t xml:space="preserve">https://electronicbookreview.com/publications/electronic-literature-as-a-method-and-as-a-disseminative-tool-for-environmental-calamity-through-a-case-study-of-digital-poetry-lost-water-remains-scape/</t>
  </si>
  <si>
    <t xml:space="preserve">Positions e-lit as both research method and public dissemination for an AHRC water-scarcity project in Coimbatore; the bilingual digital poem juxtaposes 2D/3D reconstructions of historic waterscapes with present-day imagery. Surveys adjacent Indian works (HyperPoetry Level 1; Darshan Diversion).</t>
  </si>
  <si>
    <t xml:space="preserve">digital environmental humanities; eco e-lit; water scarcity; Tamil; method; dissemination</t>
  </si>
  <si>
    <t xml:space="preserve">Lost Water! Remainscape? (2022); HyperPoetry Level 1 (Ghosh &amp; Gajapure); Darshan Diversion (Padmini Ray Murray)</t>
  </si>
  <si>
    <t xml:space="preserve">Peer-reviewed (ebr gathering)</t>
  </si>
  <si>
    <t xml:space="preserve">ebr publication page; ebr gathering index</t>
  </si>
  <si>
    <t xml:space="preserve">Author CV lists a shorter title ('“Lost water! Remains Scape?”: Transformation Waterscapes in Coimbatore…'); ebr index uses both. Catalogued under the ebr article title.</t>
  </si>
  <si>
    <t xml:space="preserve">IEL-007</t>
  </si>
  <si>
    <t xml:space="preserve">2022</t>
  </si>
  <si>
    <t xml:space="preserve">The Digital Poetics of Lost Waterscapes in Coimbatore, South India</t>
  </si>
  <si>
    <t xml:space="preserve">Routledge Handbook of the Digital Environmental Humanities</t>
  </si>
  <si>
    <t xml:space="preserve">Bergmann, L.; Crampsie, A.; Dixon, D.; Hartman, S.; Legg, R.; Ludlow, F.; Travis, C.</t>
  </si>
  <si>
    <t xml:space="preserve">Companion chapter to IEL-006 theorising digital poetics as a way of narrating environmental loss in South India.</t>
  </si>
  <si>
    <t xml:space="preserve">digital poetics; environmental humanities; Coimbatore; waterscapes</t>
  </si>
  <si>
    <t xml:space="preserve">Lost Water! Remainscape?</t>
  </si>
  <si>
    <t xml:space="preserve">Author profiles (IIT Indore DH Lab; UofT DHN Q&amp;A)</t>
  </si>
  <si>
    <t xml:space="preserve">Pages and DOI not confirmed.</t>
  </si>
  <si>
    <t xml:space="preserve">IEL-013</t>
  </si>
  <si>
    <t xml:space="preserve">Roy, Samya Brata</t>
  </si>
  <si>
    <t xml:space="preserve">9 Jan 2022</t>
  </si>
  <si>
    <t xml:space="preserve">Indian Solo Electronic Writing and its Modernist Print Anxiety</t>
  </si>
  <si>
    <t xml:space="preserve">10.7273/sj5h-fa44</t>
  </si>
  <si>
    <t xml:space="preserve">https://electronicbookreview.com/publications/indian-solo-electronic-writing-and-its-modernist-print-anxiety/</t>
  </si>
  <si>
    <t xml:space="preserve">Isolates 'solo' (single-creator, non-collaborative) electronic writing as a subset that reveals what is possible under the digital divide, and reads its lingering attachment to print modernism. Builds on Mukherjee and Shanmugapriya &amp; Menon.</t>
  </si>
  <si>
    <t xml:space="preserve">solo electronic writing; digital divide; modernism; print anxiety; Instagram poetry; blogs</t>
  </si>
  <si>
    <t xml:space="preserve">TINTA Poetry (Instagram); An Unstable Extravert (blog); Exploring 'The Waste Land'</t>
  </si>
  <si>
    <t xml:space="preserve">ebr page; GITAM faculty page</t>
  </si>
  <si>
    <t xml:space="preserve">IEL-015</t>
  </si>
  <si>
    <t xml:space="preserve">Dec 2022</t>
  </si>
  <si>
    <t xml:space="preserve">Hitman 2 and its Spectre of Mumbai: A City Lost in Translation</t>
  </si>
  <si>
    <t xml:space="preserve">Literary Cultures and Digital Humanities in India</t>
  </si>
  <si>
    <t xml:space="preserve">Zaidi, Nishat; Pue, A. Sean</t>
  </si>
  <si>
    <t xml:space="preserve">ch. 21</t>
  </si>
  <si>
    <t xml:space="preserve">Routledge India</t>
  </si>
  <si>
    <t xml:space="preserve">10.4324/9781003354246-21</t>
  </si>
  <si>
    <t xml:space="preserve">https://www.taylorfrancis.com/chapters/edit/10.4324/9781003354246-21/hitman-2-spectre-mumbai-samya-brata-roy</t>
  </si>
  <si>
    <t xml:space="preserve">Reads the representation of Mumbai in a AAA game as a problem of cultural translation; adjacent to e-lit via digital narrative and game studies.</t>
  </si>
  <si>
    <t xml:space="preserve">videogames; Mumbai; representation; translation; digital narrative</t>
  </si>
  <si>
    <t xml:space="preserve">Hitman 2 (IO Interactive, 2018)</t>
  </si>
  <si>
    <t xml:space="preserve">GITAM faculty page; Routledge TOC</t>
  </si>
  <si>
    <t xml:space="preserve">DOI added in round 3 (from Roy's Press Start author bio).</t>
  </si>
  <si>
    <t xml:space="preserve">IEL-018</t>
  </si>
  <si>
    <t xml:space="preserve">Joseph, Justy; Menon, Nirmala</t>
  </si>
  <si>
    <t xml:space="preserve">24 Nov 2022</t>
  </si>
  <si>
    <t xml:space="preserve">Electronic Literature in India: Where Is It? Does It Even Exist?</t>
  </si>
  <si>
    <t xml:space="preserve">296–312 (ch. 22)</t>
  </si>
  <si>
    <t xml:space="preserve">10.4324/9781003354246-22</t>
  </si>
  <si>
    <t xml:space="preserve">https://www.taylorfrancis.com/chapters/edit/10.4324/9781003354246-22/electronic-literature-india-justy-joseph-nirmala-menon</t>
  </si>
  <si>
    <t xml:space="preserve">Examines the pandemic-era shift to digital-first publishing and reading in India and locates digital literature in regional languages and English, together with its reception.</t>
  </si>
  <si>
    <t xml:space="preserve">digital-first publishing; COVID-19; regional languages; reception; e-publishing</t>
  </si>
  <si>
    <t xml:space="preserve">Joseph, Justy</t>
  </si>
  <si>
    <t xml:space="preserve">Taylor &amp; Francis chapter page; NRHM editorial</t>
  </si>
  <si>
    <t xml:space="preserve">Routledge TOC lists it as ch.17 in one version; chapter DOI suffix is -22.</t>
  </si>
  <si>
    <t xml:space="preserve">IEL-035</t>
  </si>
  <si>
    <t xml:space="preserve">Rizvi, Zahra; Chauhan, R.; Pue, A. Sean; Zaidi, Nishat</t>
  </si>
  <si>
    <t xml:space="preserve">Minimal computing for exploring Indian poetics</t>
  </si>
  <si>
    <t xml:space="preserve">10.63744/nbdmreacad3y</t>
  </si>
  <si>
    <t xml:space="preserve">Minimal-computing approaches to Indian poetics; listed by the special-issue editors among foundational studies of Indian digital narrative.</t>
  </si>
  <si>
    <t xml:space="preserve">minimal computing; poetics; Urdu/Hindi; DH</t>
  </si>
  <si>
    <t xml:space="preserve">Rizvi, Zahra (SI co-editor)</t>
  </si>
  <si>
    <t xml:space="preserve">NRHM editorial reference list</t>
  </si>
  <si>
    <t xml:space="preserve">DOI as given in the editorial.</t>
  </si>
  <si>
    <t xml:space="preserve">IEL-008</t>
  </si>
  <si>
    <t xml:space="preserve">Menon, Nirmala; Shanmugapriya T; Joseph, Justy; Sutton, Deborah (eds.)</t>
  </si>
  <si>
    <t xml:space="preserve">13 Dec 2023</t>
  </si>
  <si>
    <t xml:space="preserve">Indian Electronic Literature Anthology: Volume I</t>
  </si>
  <si>
    <t xml:space="preserve">Menon; Shanmugapriya T; Joseph; Sutton</t>
  </si>
  <si>
    <t xml:space="preserve">I</t>
  </si>
  <si>
    <t xml:space="preserve">IITI KSHIP (with Ubiquity Press)</t>
  </si>
  <si>
    <t xml:space="preserve">10.57004/book1</t>
  </si>
  <si>
    <t xml:space="preserve">https://indianelitanthology.iiti.ac.in/</t>
  </si>
  <si>
    <t xml:space="preserve">First multilingual anthology of Indian e-lit; curates 17 works with editorial framing. Functions as a canon-forming and preservation instrument for the field.</t>
  </si>
  <si>
    <t xml:space="preserve">anthology; curation; multilingual e-lit; canon; preservation; KSHIP</t>
  </si>
  <si>
    <t xml:space="preserve">17 works (see anthology PDF)</t>
  </si>
  <si>
    <t xml:space="preserve">Shanmugapriya T; Joseph, Justy</t>
  </si>
  <si>
    <t xml:space="preserve">Editorial curation</t>
  </si>
  <si>
    <t xml:space="preserve">Editors' profiles; anthology site; Lancaster research portal</t>
  </si>
  <si>
    <t xml:space="preserve">Some sources date publication 2024; DOI metadata and Lancaster portal give 13/12/2023.</t>
  </si>
  <si>
    <t xml:space="preserve">IEL-014</t>
  </si>
  <si>
    <t xml:space="preserve">Ensslin, Astrid; Roy, Samya Brata</t>
  </si>
  <si>
    <t xml:space="preserve">24 May 2023</t>
  </si>
  <si>
    <t xml:space="preserve">Electronic LiteratureS as Postcomparative Media</t>
  </si>
  <si>
    <t xml:space="preserve">CompLit. Journal of European Literature, Arts and Society</t>
  </si>
  <si>
    <t xml:space="preserve">5</t>
  </si>
  <si>
    <t xml:space="preserve">2023-1</t>
  </si>
  <si>
    <t xml:space="preserve">145–171</t>
  </si>
  <si>
    <t xml:space="preserve">Classiques Garnier</t>
  </si>
  <si>
    <t xml:space="preserve">10.48611/isbn.978-2-406-14861-6.p.0145</t>
  </si>
  <si>
    <t xml:space="preserve">Theorises e-lit in the plural as a fluid, culturally situated phenomenon that unsettles comparatist frameworks; supplies the 'LiteratureS' concept adopted by the NRHM special issue.</t>
  </si>
  <si>
    <t xml:space="preserve">postcomparative; plurality; world e-lit; comparative literature; theory</t>
  </si>
  <si>
    <t xml:space="preserve">GITAM faculty page; NRHM editorial reference list</t>
  </si>
  <si>
    <t xml:space="preserve">GITAM page gives pp.145–172.</t>
  </si>
  <si>
    <t xml:space="preserve">IEL-036</t>
  </si>
  <si>
    <t xml:space="preserve">Joseph, Justy; Palanisamy, Kaviarasu; Justin, Jyothi; Menon, Nirmala</t>
  </si>
  <si>
    <t xml:space="preserve">2023</t>
  </si>
  <si>
    <t xml:space="preserve">Digital Humanities Workshops in India: Effective Organizing Pedagogies and Sustainable Contributions to Academia</t>
  </si>
  <si>
    <t xml:space="preserve">Digital Humanities Workshops (Routledge)</t>
  </si>
  <si>
    <t xml:space="preserve">48–55</t>
  </si>
  <si>
    <t xml:space="preserve">Taylor &amp; Francis</t>
  </si>
  <si>
    <t xml:space="preserve">10.4324/9781003301097-6</t>
  </si>
  <si>
    <t xml:space="preserve">Defines DH workshops as a training arena and assesses their pedagogical design and sustainability in India; context for e-lit workshop pedagogy (cf. IEL-024, IEL-025).</t>
  </si>
  <si>
    <t xml:space="preserve">workshops; DH pedagogy; capacity building</t>
  </si>
  <si>
    <t xml:space="preserve">Publication list in Joseph's PhD thesis (IIT Indore, 2024)</t>
  </si>
  <si>
    <t xml:space="preserve">Round 3: corrected year (2022→2023), container and pages from the author's own thesis list.</t>
  </si>
  <si>
    <t xml:space="preserve">IEL-010</t>
  </si>
  <si>
    <t xml:space="preserve">18 Jul 2024</t>
  </si>
  <si>
    <t xml:space="preserve">A Glimpse into Past And Present Challenges: Indian Electronic Literature</t>
  </si>
  <si>
    <t xml:space="preserve">ELO (Un)linked 2024, University of Central Florida</t>
  </si>
  <si>
    <t xml:space="preserve">STARS, UCF</t>
  </si>
  <si>
    <t xml:space="preserve">https://stars.library.ucf.edu/elo2024/narrativeandworlds/schedule/3/</t>
  </si>
  <si>
    <t xml:space="preserve">Takes stock of growth (dra.ft curation, Indian contributions to ELC4, the Anthology) and asks which obstacles beyond the digital divide and low awareness have been missed.</t>
  </si>
  <si>
    <t xml:space="preserve">challenges; digital divide; ELC4; dra.ft; field review</t>
  </si>
  <si>
    <t xml:space="preserve">Indian Electronic Literature Anthology Vol. I</t>
  </si>
  <si>
    <t xml:space="preserve">Juried conference</t>
  </si>
  <si>
    <t xml:space="preserve">Open (abstract)</t>
  </si>
  <si>
    <t xml:space="preserve">STARS record</t>
  </si>
  <si>
    <t xml:space="preserve">IEL-011</t>
  </si>
  <si>
    <t xml:space="preserve">18–20 Jan 2024</t>
  </si>
  <si>
    <t xml:space="preserve">Barriers in access: Issues concerning digital creative arts in India</t>
  </si>
  <si>
    <t xml:space="preserve">ELO (Un)conference: Access Works! 2024</t>
  </si>
  <si>
    <t xml:space="preserve">Electronic Literature Organization</t>
  </si>
  <si>
    <t xml:space="preserve">Keynote on infrastructural, linguistic and institutional barriers to producing and accessing digital creative arts in India.</t>
  </si>
  <si>
    <t xml:space="preserve">access; infrastructure; digital creative arts; keynote</t>
  </si>
  <si>
    <t xml:space="preserve">Invited</t>
  </si>
  <si>
    <t xml:space="preserve">n/a</t>
  </si>
  <si>
    <t xml:space="preserve">IIT Indore DH Lab profile</t>
  </si>
  <si>
    <t xml:space="preserve">No recording/text located.</t>
  </si>
  <si>
    <t xml:space="preserve">IEL-012</t>
  </si>
  <si>
    <t xml:space="preserve">Roy, Samya Brata; Shanmugapriya T</t>
  </si>
  <si>
    <t xml:space="preserve">Publishing Electronic Literature Research as Precarious Academics</t>
  </si>
  <si>
    <t xml:space="preserve">https://stars.library.ucf.edu/elo2024/narrativeandworlds/schedule/21/</t>
  </si>
  <si>
    <t xml:space="preserve">Workshop on the mismatch between digital e-lit research and metric-driven institutional publication demands facing early-career scholars.</t>
  </si>
  <si>
    <t xml:space="preserve">scholarly publishing; precarity; research evaluation; early-career</t>
  </si>
  <si>
    <t xml:space="preserve">Precursor to IEL-032.</t>
  </si>
  <si>
    <t xml:space="preserve">IEL-026</t>
  </si>
  <si>
    <t xml:space="preserve">Bhatt, Prakruti</t>
  </si>
  <si>
    <t xml:space="preserve">Apr 2024</t>
  </si>
  <si>
    <t xml:space="preserve">Theorizing Third Generation E-lit: An Analysis of the Digital Writing Applications</t>
  </si>
  <si>
    <t xml:space="preserve">Webinar: E-literature: Explorations in Literary Creativity, Dept. of English, Jamia Millia Islamia</t>
  </si>
  <si>
    <t xml:space="preserve">ResearchGate (slides)</t>
  </si>
  <si>
    <t xml:space="preserve">https://www.researchgate.net/publication/379564363_Theorizing_Third_Generation_E-lit_An_Analysis_of_the_Digital_Writing_Applications</t>
  </si>
  <si>
    <t xml:space="preserve">Asks whether outputs of Indian writing apps such as YourQuote and Writco belong to third-generation e-lit, using Hayles's media-specific analysis and Murray's digital literary sphere.</t>
  </si>
  <si>
    <t xml:space="preserve">third-generation e-lit; writing apps; YourQuote; Writco; media-specific analysis</t>
  </si>
  <si>
    <t xml:space="preserve">YourQuote; Writco (platforms)</t>
  </si>
  <si>
    <t xml:space="preserve">Open</t>
  </si>
  <si>
    <t xml:space="preserve">ResearchGate record</t>
  </si>
  <si>
    <t xml:space="preserve">Grey literature.</t>
  </si>
  <si>
    <t xml:space="preserve">IEL-038</t>
  </si>
  <si>
    <t xml:space="preserve">Bhuyan, Pooja; Dutta, Rajashree</t>
  </si>
  <si>
    <t xml:space="preserve">Dec 2024</t>
  </si>
  <si>
    <t xml:space="preserve">Examining Narrative Possibilities in Hyper-text Fiction: A Study Beyond the Territory of Print Fiction in Quibbling and Patchwork Girl</t>
  </si>
  <si>
    <t xml:space="preserve">10.21659/rupkatha.v16n3.05</t>
  </si>
  <si>
    <t xml:space="preserve">https://rupkatha.com/v16n305/</t>
  </si>
  <si>
    <t xml:space="preserve">Indian scholars reading two canonical Storyspace-era hypertexts for narrative affordances unavailable to print fiction.</t>
  </si>
  <si>
    <t xml:space="preserve">hypertext fiction; Storyspace; narrative; Patchwork Girl; Quibbling</t>
  </si>
  <si>
    <t xml:space="preserve">Quibbling (Carolyn Guyer); Patchwork Girl (Shelley Jackson)</t>
  </si>
  <si>
    <t xml:space="preserve">IEL-048</t>
  </si>
  <si>
    <t xml:space="preserve">19 Nov 2024</t>
  </si>
  <si>
    <t xml:space="preserve">Review: Videogames in the Indian Subcontinent: Development, Culture(s) and Representations, by Souvik Mukherjee</t>
  </si>
  <si>
    <t xml:space="preserve">Press Start</t>
  </si>
  <si>
    <t xml:space="preserve">Issue theme: The Playful Postcolonial: Culturing Videogames in India</t>
  </si>
  <si>
    <t xml:space="preserve">10</t>
  </si>
  <si>
    <t xml:space="preserve">67–70</t>
  </si>
  <si>
    <t xml:space="preserve">University of Glasgow</t>
  </si>
  <si>
    <t xml:space="preserve">https://press-start.gla.ac.uk/press-start/article/view/300</t>
  </si>
  <si>
    <t xml:space="preserve">Review of Mukherjee's 2022 Bloomsbury monograph on the development, cultures and representations of games in South Asia.</t>
  </si>
  <si>
    <t xml:space="preserve">book review; videogames; India; South Asia; postcolonial game studies</t>
  </si>
  <si>
    <t xml:space="preserve">Editorially reviewed</t>
  </si>
  <si>
    <t xml:space="preserve">Open access (CC BY)</t>
  </si>
  <si>
    <t xml:space="preserve">Publisher page metadata</t>
  </si>
  <si>
    <t xml:space="preserve">Catalogued as Roy's work; the Mukherjee restriction in the brief applies to Mukherjee-authored items, not reviews of them.</t>
  </si>
  <si>
    <t xml:space="preserve">IEL-016</t>
  </si>
  <si>
    <t xml:space="preserve">Online 20 Jan 2025</t>
  </si>
  <si>
    <t xml:space="preserve">e-Sahitya, or the contested emergence of the electronic within the literary in India</t>
  </si>
  <si>
    <t xml:space="preserve">New Review of Hypermedia and Multimedia</t>
  </si>
  <si>
    <t xml:space="preserve">Special Issue: India, Digital, LiteratureS: forms and (dis)contents (eds. S.B. Roy, A. Ensslin, Z. Rizvi, Shanmugapriya T)</t>
  </si>
  <si>
    <t xml:space="preserve">32</t>
  </si>
  <si>
    <t xml:space="preserve">2–3</t>
  </si>
  <si>
    <t xml:space="preserve">182–198</t>
  </si>
  <si>
    <t xml:space="preserve">10.1080/13614568.2025.2453677</t>
  </si>
  <si>
    <t xml:space="preserve">https://doi.org/10.1080/13614568.2025.2453677</t>
  </si>
  <si>
    <t xml:space="preserve">Contrasts ELO-aligned university engagement with e-lit against the print-centred paradigm of the Sahitya Akademi, using interviews, panel records and a library visit, set against the history of English studies and post-independence cultural policy. Ends with a call for investment.</t>
  </si>
  <si>
    <t xml:space="preserve">Sahitya Akademi; institutions; English studies; print paradigm; cultural policy; ELO</t>
  </si>
  <si>
    <t xml:space="preserve">T&amp;F article page</t>
  </si>
  <si>
    <t xml:space="preserve">In NRHM special issue.</t>
  </si>
  <si>
    <t xml:space="preserve">IEL-019</t>
  </si>
  <si>
    <t xml:space="preserve">Kavitha, K.; Menon, Nirmala</t>
  </si>
  <si>
    <t xml:space="preserve">Online 12 Dec 2025</t>
  </si>
  <si>
    <t xml:space="preserve">Trans women’s creative outputs on YouTube as Indian Trans Women Electronic Literature: archiving and amplifying digital narratives</t>
  </si>
  <si>
    <t xml:space="preserve">168–181</t>
  </si>
  <si>
    <t xml:space="preserve">10.1080/13614568.2025.2595323</t>
  </si>
  <si>
    <t xml:space="preserve">https://doi.org/10.1080/13614568.2025.2595323</t>
  </si>
  <si>
    <t xml:space="preserve">Argues that poetry films and animated stories by Indian trans women on YouTube qualify as e-lit (multimodal, interactive, narrative) and proposes an Omeka archive to counter algorithmic suppression and weak institutional presence.</t>
  </si>
  <si>
    <t xml:space="preserve">trans women; queer e-lit; YouTube; poetry film; Omeka; archiving; marginality</t>
  </si>
  <si>
    <t xml:space="preserve">Trans women's YouTube poetry films and animated stories (corpus)</t>
  </si>
  <si>
    <t xml:space="preserve">Kavitha, K.</t>
  </si>
  <si>
    <t xml:space="preserve">T&amp;F article page; NRHM editorial</t>
  </si>
  <si>
    <t xml:space="preserve">IEL-020</t>
  </si>
  <si>
    <t xml:space="preserve">Bhimjyani, Simran; Desai, Mehulkumar; Shanmugapriya T</t>
  </si>
  <si>
    <t xml:space="preserve">Online 18 Sep 2025</t>
  </si>
  <si>
    <t xml:space="preserve">Narrating nature in the digital age: exploring Indian eco-electronic literature</t>
  </si>
  <si>
    <t xml:space="preserve">TBC</t>
  </si>
  <si>
    <t xml:space="preserve">10.1080/13614568.2025.2557808</t>
  </si>
  <si>
    <t xml:space="preserve">https://doi.org/10.1080/13614568.2025.2557808</t>
  </si>
  <si>
    <t xml:space="preserve">Applies ecophenomenological and ecohermeneutic readings to show how multimodality, kinetic image and sound in three Indian works cultivate ecological consciousness about local environmental concerns.</t>
  </si>
  <si>
    <t xml:space="preserve">eco-e-lit; ecophenomenology; ecohermeneutics; multimodality; sound; environment</t>
  </si>
  <si>
    <t xml:space="preserve">Blue Is My Favourite Colour (Bhimjyani); Meghadutam (Priti Pandurangan); Lost Water! Remainscape? (Shanmugapriya T)</t>
  </si>
  <si>
    <t xml:space="preserve">Bhimjyani; Desai; Shanmugapriya T</t>
  </si>
  <si>
    <t xml:space="preserve">T&amp;F listing; NRHM editorial</t>
  </si>
  <si>
    <t xml:space="preserve">Issue pagination not confirmed (13 pp.). Google Scholar: cited by 1 (Sep 2026).</t>
  </si>
  <si>
    <t xml:space="preserve">IEL-021</t>
  </si>
  <si>
    <t xml:space="preserve">Fernandez, Geoffrey Bryan; Gaur, Rashmi</t>
  </si>
  <si>
    <t xml:space="preserve">Online 26 Sep 2025</t>
  </si>
  <si>
    <t xml:space="preserve">Unwriting hegemonic narratives: examining Venba as a decolonial intervention in video game spaces</t>
  </si>
  <si>
    <t xml:space="preserve">10.1080/13614568.2025.2562011</t>
  </si>
  <si>
    <t xml:space="preserve">https://doi.org/10.1080/13614568.2025.2562011</t>
  </si>
  <si>
    <t xml:space="preserve">Proposes an 'unwriting' framework to read a Tamil diasporic cooking game as decolonial design, with food, language and gendered labour as carriers of cultural memory.</t>
  </si>
  <si>
    <t xml:space="preserve">decolonial game design; Tamil diaspora; food; language; Indian digital literature</t>
  </si>
  <si>
    <t xml:space="preserve">Venba (Visai Games, 2023)</t>
  </si>
  <si>
    <t xml:space="preserve">Special issue contributor</t>
  </si>
  <si>
    <t xml:space="preserve">Issue pagination not confirmed.</t>
  </si>
  <si>
    <t xml:space="preserve">IEL-022</t>
  </si>
  <si>
    <t xml:space="preserve">Salim, Simi K.</t>
  </si>
  <si>
    <t xml:space="preserve">Online 20 Nov 2025</t>
  </si>
  <si>
    <t xml:space="preserve">Malayali women’s travel writing in Instagram and digitally mediated cultures of reading</t>
  </si>
  <si>
    <t xml:space="preserve">10.1080/13614568.2025.2587150</t>
  </si>
  <si>
    <t xml:space="preserve">https://doi.org/10.1080/13614568.2025.2587150</t>
  </si>
  <si>
    <t xml:space="preserve">Digital-ethnographic study of two Malayali author-influencers whose Instagram travel texts, reels and Bookstagram reviews crossed into print through small Calicut publishers, arguing that vernacular Insta-literature reshapes what counts as 'LiteratureS'.</t>
  </si>
  <si>
    <t xml:space="preserve">Instagram; Malayalam; vernacular; Gen Z; Bookstagram; travel writing; author-influencer</t>
  </si>
  <si>
    <t xml:space="preserve">@abreedabanu; @hannamehthar; Karakkam (2023); Kubaku.co (2024)</t>
  </si>
  <si>
    <t xml:space="preserve">Author-deposited PDF (Academia.edu)</t>
  </si>
  <si>
    <t xml:space="preserve">IEL-023</t>
  </si>
  <si>
    <t xml:space="preserve">Nagpal, Ruchi</t>
  </si>
  <si>
    <t xml:space="preserve">Indian digital literature(s): tracing the contours of an emergence</t>
  </si>
  <si>
    <t xml:space="preserve">89–108</t>
  </si>
  <si>
    <t xml:space="preserve">10.1080/13614568.2025.2595326</t>
  </si>
  <si>
    <t xml:space="preserve">https://doi.org/10.1080/13614568.2025.2595326</t>
  </si>
  <si>
    <t xml:space="preserve">Treats Indian e-lit as a distinct category within e-lit and traces how its contested definitions extend the question of what literature is; opens from Mukherjee's (2017) endnote.</t>
  </si>
  <si>
    <t xml:space="preserve">definition; emergence; category; Indian digital literature</t>
  </si>
  <si>
    <t xml:space="preserve">IEL-027</t>
  </si>
  <si>
    <t xml:space="preserve">Alagiya, Kavisha Dilipbhai</t>
  </si>
  <si>
    <t xml:space="preserve">Jan 2025</t>
  </si>
  <si>
    <t xml:space="preserve">From Prompts to Prose: AI-Generated Flash Fiction for Stylistic and Hypertextual Analysis</t>
  </si>
  <si>
    <t xml:space="preserve">International Journal of Research and Analytical Reviews (IJRAR)</t>
  </si>
  <si>
    <t xml:space="preserve">12</t>
  </si>
  <si>
    <t xml:space="preserve">84–89</t>
  </si>
  <si>
    <t xml:space="preserve">IJRAR</t>
  </si>
  <si>
    <t xml:space="preserve">https://ijrar.org/papers/IJRAR1DXP017.pdf</t>
  </si>
  <si>
    <t xml:space="preserve">Classroom study in which undergraduate groups prompted GPT-4 to produce hyperlinked flash fiction; analyses style and the functionality of embedded links, proposing AI-assisted hypertext as a teaching tool.</t>
  </si>
  <si>
    <t xml:space="preserve">AI; generative writing; hypertext; flash fiction; stylistics; pedagogy</t>
  </si>
  <si>
    <t xml:space="preserve">Alagiya, Kavisha</t>
  </si>
  <si>
    <t xml:space="preserve">Journal (review status unverified)</t>
  </si>
  <si>
    <t xml:space="preserve">Publisher PDF</t>
  </si>
  <si>
    <t xml:space="preserve">IEL-037</t>
  </si>
  <si>
    <t xml:space="preserve">Bhimjyani, Simran; Desai, Mehulkumar</t>
  </si>
  <si>
    <t xml:space="preserve">23 Apr 2025</t>
  </si>
  <si>
    <t xml:space="preserve">Translating Voyant Tools into Gujarati: Bridging Digital Humanities and Regional Scholarship</t>
  </si>
  <si>
    <t xml:space="preserve">Voyant Tools blog</t>
  </si>
  <si>
    <t xml:space="preserve">Voyant Tools</t>
  </si>
  <si>
    <t xml:space="preserve">https://voyant-tools.info/2025/04/23/translating-voyant-tools-into-gujarati-bridging-digital-humanities-and-regional-scholarship/</t>
  </si>
  <si>
    <t xml:space="preserve">Reports the Gujarati localisation of Voyant, the first Indian regional language added to the platform.</t>
  </si>
  <si>
    <t xml:space="preserve">localisation; Gujarati; text analysis; regional languages</t>
  </si>
  <si>
    <t xml:space="preserve">Bhimjyani; Desai</t>
  </si>
  <si>
    <t xml:space="preserve">Voyant blog</t>
  </si>
  <si>
    <t xml:space="preserve">Context: vernacular tooling for Indian e-lit/DH.</t>
  </si>
  <si>
    <t xml:space="preserve">IEL-041</t>
  </si>
  <si>
    <t xml:space="preserve">Desai, Mehulkumar</t>
  </si>
  <si>
    <t xml:space="preserve">2025</t>
  </si>
  <si>
    <t xml:space="preserve">Technoeikon</t>
  </si>
  <si>
    <t xml:space="preserve">The Living Glossary of Digital Narrative</t>
  </si>
  <si>
    <t xml:space="preserve">Center for Digital Narrative, University of Bergen</t>
  </si>
  <si>
    <t xml:space="preserve">https://glossary.cdn.uib.no/</t>
  </si>
  <si>
    <t xml:space="preserve">Defines technoeikon for an international reference glossary as the interplay of image, kinetic text, sound, video and graphic design that animates digital literature — carrying the term coined by Shanmugapriya T, Menon &amp; Campbell (IEL-004) into a field-wide vocabulary.</t>
  </si>
  <si>
    <t xml:space="preserve">technoeikon; glossary; terminology; digital literature; multimodality</t>
  </si>
  <si>
    <t xml:space="preserve">Desai</t>
  </si>
  <si>
    <t xml:space="preserve">Editorially reviewed reference work</t>
  </si>
  <si>
    <t xml:space="preserve">Glossary site (entry text located); Desai's Google Scholar profile (supplied by user, Sep 2026)</t>
  </si>
  <si>
    <t xml:space="preserve">Shows uptake of an India-originated concept in the CDN glossary. Attribution to Desai from Google Scholar; the search snippet did not show the author credit.</t>
  </si>
  <si>
    <t xml:space="preserve">IEL-050</t>
  </si>
  <si>
    <t xml:space="preserve">Bhimjyani, Simran; Shanmugapriya T</t>
  </si>
  <si>
    <t xml:space="preserve">2025 (month TBC)</t>
  </si>
  <si>
    <t xml:space="preserve">Electronic Ecologies: A Study on the Representation of Nature in Indian Electronic Literature</t>
  </si>
  <si>
    <t xml:space="preserve">Global Digital Humanities Symposium 2025 (Michigan State University)</t>
  </si>
  <si>
    <t xml:space="preserve">MSU Global DH</t>
  </si>
  <si>
    <t xml:space="preserve">https://2025.msuglobaldh.org/schedule/</t>
  </si>
  <si>
    <t xml:space="preserve">Conference version of the eco-e-lit research later published as IEL-020.</t>
  </si>
  <si>
    <t xml:space="preserve">eco-e-lit; nature; representation; Indian e-lit</t>
  </si>
  <si>
    <t xml:space="preserve">Bhimjyani; Shanmugapriya T</t>
  </si>
  <si>
    <t xml:space="preserve">Symposium schedule (search snippet; page blocks crawlers)</t>
  </si>
  <si>
    <t xml:space="preserve">Confirm date and session.</t>
  </si>
  <si>
    <t xml:space="preserve">IEL-009</t>
  </si>
  <si>
    <t xml:space="preserve">Menon, Nirmala; Joseph, Justy; Shanmugapriya T (eds.)</t>
  </si>
  <si>
    <t xml:space="preserve">Mar 2026</t>
  </si>
  <si>
    <t xml:space="preserve">Indian Electronic Literature Anthology: Volume 2</t>
  </si>
  <si>
    <t xml:space="preserve">Menon; Joseph; Shanmugapriya T</t>
  </si>
  <si>
    <t xml:space="preserve">IIT Indore (JPN National Centre / KSHIP)</t>
  </si>
  <si>
    <t xml:space="preserve">https://indianelitanthology.iiti.ac.in/volume-2/</t>
  </si>
  <si>
    <t xml:space="preserve">Second volume with a preface framing e-lit as a domain that both inhabits and extends DH methods; eight works including eco-narratives and campus IF.</t>
  </si>
  <si>
    <t xml:space="preserve">anthology; curation; e-lit and DH; eco-e-lit</t>
  </si>
  <si>
    <t xml:space="preserve">Blue is my favourite Colour (Bhimjyani); The Dream of an Insomniac (Niyogi); Zara's Odyssey (S Anas Ahmad); The Sacred Sap (Desai); Gadwal (Padmanabhan); Poemxreader (Andrea); Purrfectly Intertwined (George); Boogy at DU (Goswami)</t>
  </si>
  <si>
    <t xml:space="preserve">Shanmugapriya T; Joseph, Justy; Bhimjyani; Desai</t>
  </si>
  <si>
    <t xml:space="preserve">Anthology site (fetched 25 Sep 2026)</t>
  </si>
  <si>
    <t xml:space="preserve">Several contributors are also scholars catalogued here (Bhimjyani, Desai, S Anas Ahmad).</t>
  </si>
  <si>
    <t xml:space="preserve">IEL-017</t>
  </si>
  <si>
    <t xml:space="preserve">Roy, Samya Brata; Ensslin, Astrid; Rizvi, Zahra; Shanmugapriya T</t>
  </si>
  <si>
    <t xml:space="preserve">Online 8 Jul 2026</t>
  </si>
  <si>
    <t xml:space="preserve">India, digital, literatureS: forms and (dis)contents</t>
  </si>
  <si>
    <t xml:space="preserve">10.1080/13614568.2026.2698242</t>
  </si>
  <si>
    <t xml:space="preserve">https://doi.org/10.1080/13614568.2026.2698242</t>
  </si>
  <si>
    <t xml:space="preserve">Frames the issue around a deliberately comma-separated 'India, digital, literatureS' to avoid fixing what counts as Indian, groups contributions into forms, (dis)contents and pedagogy, and reviews prior scholarship from Singh (2016) onward.</t>
  </si>
  <si>
    <t xml:space="preserve">special issue; plurality; forms; discontents; historiography</t>
  </si>
  <si>
    <t xml:space="preserve">Editorial</t>
  </si>
  <si>
    <t xml:space="preserve">Free access</t>
  </si>
  <si>
    <t xml:space="preserve">Key reference list for the whole field; see sheet 'NRHM Special Issue'.</t>
  </si>
  <si>
    <t xml:space="preserve">IEL-024</t>
  </si>
  <si>
    <t xml:space="preserve">Shahid, Maria; Ahmad, S. Anas; Ahmad, Bushra; Khan, M. Rizwan</t>
  </si>
  <si>
    <t xml:space="preserve">Online 16 Mar 2026</t>
  </si>
  <si>
    <t xml:space="preserve">Digital Humanities and Electronic Literature in India: opportunities, challenges, and future directions</t>
  </si>
  <si>
    <t xml:space="preserve">199–224</t>
  </si>
  <si>
    <t xml:space="preserve">10.1080/13614568.2026.2643163</t>
  </si>
  <si>
    <t xml:space="preserve">https://doi.org/10.1080/13614568.2026.2643163</t>
  </si>
  <si>
    <t xml:space="preserve">Uses participant data from a GIAN course on DH and e-lit to identify gaps in Indian higher education and recommends curriculum, collaboration and policy responses to linguistic diversity and infrastructure.</t>
  </si>
  <si>
    <t xml:space="preserve">higher education; GIAN; curriculum; policy; Digital India; infrastructure</t>
  </si>
  <si>
    <t xml:space="preserve">S. Anas Ahmad is also a creator in Anthology Vol. 2.</t>
  </si>
  <si>
    <t xml:space="preserve">IEL-025</t>
  </si>
  <si>
    <t xml:space="preserve">Bhatt, Prakruti Kaushikbhai; Barad, Dilip</t>
  </si>
  <si>
    <t xml:space="preserve">Online 3 Apr 2026</t>
  </si>
  <si>
    <t xml:space="preserve">Teaching electronic literature in India: a case study of using Twine for a creative writing workshop</t>
  </si>
  <si>
    <t xml:space="preserve">225–256</t>
  </si>
  <si>
    <t xml:space="preserve">10.1080/13614568.2026.2645116</t>
  </si>
  <si>
    <t xml:space="preserve">https://doi.org/10.1080/13614568.2026.2645116</t>
  </si>
  <si>
    <t xml:space="preserve">Case study of a two-day Twine workshop for MA students at MKBU, Bhavnagar, drawing on feedback forms and interviews; finds mobile phones are the main entry point to e-lit and that practice-led pedagogy builds digital literacy and interpretive plurality.</t>
  </si>
  <si>
    <t xml:space="preserve">pedagogy; Twine; hypertext; creative writing; Gujarat; digital literacy</t>
  </si>
  <si>
    <t xml:space="preserve">Student hypertexts from the workshop</t>
  </si>
  <si>
    <t xml:space="preserve">Longest article in the issue (32 pp.). The workshop followed the launch of Bhatt's collaborative hypertext with Deena Larsen (see Creative Works W-21).</t>
  </si>
  <si>
    <t xml:space="preserve">IEL-028</t>
  </si>
  <si>
    <t xml:space="preserve">Alagiya, Kavisha D.</t>
  </si>
  <si>
    <t xml:space="preserve">Jul 2026</t>
  </si>
  <si>
    <t xml:space="preserve">Exiled to Latent Space: Writing from Dimensions We Cannot Enter</t>
  </si>
  <si>
    <t xml:space="preserve">ELO (un)supervised 2026 (online)</t>
  </si>
  <si>
    <t xml:space="preserve">https://stars.library.ucf.edu/elo2026/algorithmsandimaginaries/schedule/38/</t>
  </si>
  <si>
    <t xml:space="preserve">Considers how writing with or for LLMs is reorganised in vector space beyond human perception, and what that means for authorship and agency.</t>
  </si>
  <si>
    <t xml:space="preserve">LLMs; latent space; authorship; AI writing; embeddings</t>
  </si>
  <si>
    <t xml:space="preserve">Doctoral work (MKBU, supervisor Dilip Barad) is on Storyspace hypertexts by Joyce and Bernstein.</t>
  </si>
  <si>
    <t xml:space="preserve">IEL-029</t>
  </si>
  <si>
    <t xml:space="preserve">Desai, Mehulkumar; Shanmugapriya T; Flores, Leonardo</t>
  </si>
  <si>
    <t xml:space="preserve">18 Jul 2026</t>
  </si>
  <si>
    <t xml:space="preserve">Reorienting Electronic Literature</t>
  </si>
  <si>
    <t xml:space="preserve">https://stars.library.ucf.edu/elo2026/hypertextsandfictions/schedule/26/</t>
  </si>
  <si>
    <t xml:space="preserve">Three-part panel: a five-phase history of e-lit scholarship; a 'methods-first poetics' built on Space, Temporal and Cultural (STC) axes of engagement; and a talk on e-lit futures under ubiquitous AI.</t>
  </si>
  <si>
    <t xml:space="preserve">historiography; methods-first poetics; STC axes; AI; field history</t>
  </si>
  <si>
    <t xml:space="preserve">Desai; Shanmugapriya T</t>
  </si>
  <si>
    <t xml:space="preserve">Open (abstract; recording)</t>
  </si>
  <si>
    <t xml:space="preserve">Order of speakers per abstract; attribution of each talk to a panelist not stated.</t>
  </si>
  <si>
    <t xml:space="preserve">IEL-030</t>
  </si>
  <si>
    <t xml:space="preserve">Desai, Mehulkumar; Shanmugapriya T</t>
  </si>
  <si>
    <t xml:space="preserve">Positioning Electronic literature as an Emerging Creative Industry in the Majority World: A Comparative Analysis with Video Games and Digital Arts</t>
  </si>
  <si>
    <t xml:space="preserve">https://stars.library.ucf.edu/elo2026/narrativesandworlds/schedule/24/</t>
  </si>
  <si>
    <t xml:space="preserve">Uses British Council and PwC reports to ask why digital art and games have outpaced e-lit in visibility and support in India, situating e-lit within the creative economy.</t>
  </si>
  <si>
    <t xml:space="preserve">creative industries; creative economy; policy; video games; digital art; ICIDN</t>
  </si>
  <si>
    <t xml:space="preserve">STARS record; co-author confirmed from Desai's Google Scholar profile</t>
  </si>
  <si>
    <t xml:space="preserve">Co-author added in round 2.</t>
  </si>
  <si>
    <t xml:space="preserve">IEL-031</t>
  </si>
  <si>
    <t xml:space="preserve">Roy, Samya Brata; Shanmugapriya T; Desai, Mehulkumar</t>
  </si>
  <si>
    <t xml:space="preserve">Publishing Electronic Literature Research in Metric-Driven Academia: A Roadmap for Electronic Literature Scholars</t>
  </si>
  <si>
    <t xml:space="preserve">https://stars.library.ucf.edu/elo2026/algorithmsandimaginaries/schedule/10/</t>
  </si>
  <si>
    <t xml:space="preserve">Workshop mapping venues and portfolio strategies so Indian e-lit scholars can navigate Scopus/WoS-driven evaluation without abandoning digital work.</t>
  </si>
  <si>
    <t xml:space="preserve">scholarly publishing; metrics; Scopus; research evaluation; advocacy</t>
  </si>
  <si>
    <t xml:space="preserve">Roy, Samya Brata; Shanmugapriya T; Desai</t>
  </si>
  <si>
    <t xml:space="preserve">Follows IEL-012.</t>
  </si>
  <si>
    <t xml:space="preserve">IEL-032</t>
  </si>
  <si>
    <t xml:space="preserve">Larsen, Deena; Ram Prakash D</t>
  </si>
  <si>
    <t xml:space="preserve">Aug 2026</t>
  </si>
  <si>
    <t xml:space="preserve">Review of Lost Water! Remainscape? (dir. Shanmugapriya T)</t>
  </si>
  <si>
    <t xml:space="preserve">Reviews in Digital Humanities</t>
  </si>
  <si>
    <t xml:space="preserve">Guiliano, Jennifer; Risam, Roopika</t>
  </si>
  <si>
    <t xml:space="preserve">7</t>
  </si>
  <si>
    <t xml:space="preserve">8</t>
  </si>
  <si>
    <t xml:space="preserve">PubPub</t>
  </si>
  <si>
    <t xml:space="preserve">https://reviewsindh.pubpub.org/v7-n8</t>
  </si>
  <si>
    <t xml:space="preserve">Paired peer review of the Coimbatore water-scarcity digital poem, published in an issue themed 'Resisting Erasure'.</t>
  </si>
  <si>
    <t xml:space="preserve">project review; eco-e-lit; Tamil; water</t>
  </si>
  <si>
    <t xml:space="preserve">Shanmugapriya T (subject)</t>
  </si>
  <si>
    <t xml:space="preserve">Reviews in DH issue listing; project site</t>
  </si>
  <si>
    <t xml:space="preserve">Reviewer names from the project site; confirm by-lines on the review page.</t>
  </si>
  <si>
    <t xml:space="preserve">IEL-042</t>
  </si>
  <si>
    <t xml:space="preserve">24 Apr 2026</t>
  </si>
  <si>
    <t xml:space="preserve">Stone Moons: Hypertext, Resurrection, and Deeply Intertwingled Resonances of Digital Memory</t>
  </si>
  <si>
    <t xml:space="preserve">https://electronicbookreview.com/publications/stone-moons/</t>
  </si>
  <si>
    <t xml:space="preserve">Review of Deena Larsen's Stone Moons, reading it through hypertextual resurrection and digital memory.</t>
  </si>
  <si>
    <t xml:space="preserve">hypertext; Deena Larsen; digital memory; resurrection; intertwingularity</t>
  </si>
  <si>
    <t xml:space="preserve">Stone Moons (Deena Larsen)</t>
  </si>
  <si>
    <t xml:space="preserve">Editorially reviewed (ebr review)</t>
  </si>
  <si>
    <t xml:space="preserve">ebr author page</t>
  </si>
  <si>
    <t xml:space="preserve">Companion to IEL-043.</t>
  </si>
  <si>
    <t xml:space="preserve">IEL-043</t>
  </si>
  <si>
    <t xml:space="preserve">30 Jun 2026</t>
  </si>
  <si>
    <t xml:space="preserve">At the Threshold of Hypertext: Deena Larsen on Stone Moons, Electronic Literature, and the Ethics of Ambiguity</t>
  </si>
  <si>
    <t xml:space="preserve">https://electronicbookreview.com/publications/at-the-threshold-of-hypertext/</t>
  </si>
  <si>
    <t xml:space="preserve">Interview with hypertext pioneer Deena Larsen on her process, ambiguity and ethics, framing hypertext as a way of thinking as much as a medium.</t>
  </si>
  <si>
    <t xml:space="preserve">interview; hypertext; Deena Larsen; ambiguity; ethics; oral history of e-lit</t>
  </si>
  <si>
    <t xml:space="preserve">Editorial (interview)</t>
  </si>
  <si>
    <t xml:space="preserve">ebr homepage and author page</t>
  </si>
  <si>
    <t xml:space="preserve">IEL-044</t>
  </si>
  <si>
    <t xml:space="preserve">Desai, Mehulkumar; Larsen, Deena</t>
  </si>
  <si>
    <t xml:space="preserve">2 Sep 2026</t>
  </si>
  <si>
    <t xml:space="preserve">Where Are the Hypertexts Now? Mark Bernstein on Storyspace, Eastgate, AI, and the Future of Electronic Literature</t>
  </si>
  <si>
    <t xml:space="preserve">Pop Junctions (Henry Jenkins's blog)</t>
  </si>
  <si>
    <t xml:space="preserve">henryjenkins.org</t>
  </si>
  <si>
    <t xml:space="preserve">http://henryjenkins.org/blog/2026/9/2/mark-bernstein-where-are-the-hypertexts-now</t>
  </si>
  <si>
    <t xml:space="preserve">Interview with Eastgate founder Mark Bernstein covering Storyspace, literary publishing, large language models, and the persistent problem of form and structure in digital reading.</t>
  </si>
  <si>
    <t xml:space="preserve">interview; Storyspace; Eastgate; Mark Bernstein; hypertext publishing; AI; LLMs</t>
  </si>
  <si>
    <t xml:space="preserve">Storyspace; Tinderbox; Eastgate catalogue</t>
  </si>
  <si>
    <t xml:space="preserve">Pop Junctions post and index</t>
  </si>
  <si>
    <t xml:space="preserve">Part of a 2026 oral-history series with Larsen (cf. IEL-043).</t>
  </si>
  <si>
    <t xml:space="preserve">IEL-045</t>
  </si>
  <si>
    <t xml:space="preserve">2026</t>
  </si>
  <si>
    <t xml:space="preserve">Derivative as Generative: Drift, Recombination, and Digital Poetics in Dérivepedia</t>
  </si>
  <si>
    <t xml:space="preserve">Talan Memmott: Works on Screen, 1998–2016 (The NEXT exhibition, curated by Dene Grigar)</t>
  </si>
  <si>
    <t xml:space="preserve">Grigar, Dene (curator)</t>
  </si>
  <si>
    <t xml:space="preserve">The NEXT</t>
  </si>
  <si>
    <t xml:space="preserve">https://the-next.org/exhibition/works-on-screen/criticism.html</t>
  </si>
  <si>
    <t xml:space="preserve">Critical essay for the NEXT's Memmott retrospective, reading Dérivepedia's drift and recombination as generative rather than derivative poetics.</t>
  </si>
  <si>
    <t xml:space="preserve">Talan Memmott; digital poetics; recombination; dérive; generative text; exhibition criticism</t>
  </si>
  <si>
    <t xml:space="preserve">Dérivepedia (Talan Memmott)</t>
  </si>
  <si>
    <t xml:space="preserve">Curated</t>
  </si>
  <si>
    <t xml:space="preserve">Exhibition criticism page exists (content loads via script); title from Desai's Google Scholar profile (supplied by user, Sep 2026)</t>
  </si>
  <si>
    <t xml:space="preserve">Essay text did not render to the crawler; confirm title on page.</t>
  </si>
  <si>
    <t xml:space="preserve">IEL-046</t>
  </si>
  <si>
    <t xml:space="preserve">Understanding Interactive Digital Narratives: Immersive Expressions for a Complex Time: A Review</t>
  </si>
  <si>
    <t xml:space="preserve">Leonardo Reviews</t>
  </si>
  <si>
    <t xml:space="preserve">Leonardo / ISAST</t>
  </si>
  <si>
    <t xml:space="preserve">https://leonardo.info/review/2026/07/ (full URL truncated in source)</t>
  </si>
  <si>
    <t xml:space="preserve">Review of Hartmut Koenitz's monograph Understanding Interactive Digital Narrative: Immersive Expressions for a Complex Time (Routledge, 2023).</t>
  </si>
  <si>
    <t xml:space="preserve">IDN; Koenitz; book review; narrative theory</t>
  </si>
  <si>
    <t xml:space="preserve">Desai's Google Scholar profile (supplied by user, Sep 2026)</t>
  </si>
  <si>
    <t xml:space="preserve">Could not reach the review page; complete the URL from Leonardo Reviews.</t>
  </si>
  <si>
    <t xml:space="preserve">IEL-047</t>
  </si>
  <si>
    <t xml:space="preserve">Desai, Mehulkumar; Shanmugapriya T; Koenitz, Hartmut</t>
  </si>
  <si>
    <t xml:space="preserve">Interactive Digital Narrative as a Medium for Complex Times: An Interview with Hartmut Koenitz</t>
  </si>
  <si>
    <t xml:space="preserve">H2D | Digital Humanities Journal</t>
  </si>
  <si>
    <t xml:space="preserve">H2D</t>
  </si>
  <si>
    <t xml:space="preserve">Interview with the ARDIN president on IDN as a form suited to representing complex contemporary issues.</t>
  </si>
  <si>
    <t xml:space="preserve">interview; IDN; Koenitz; complexity; ARDIN</t>
  </si>
  <si>
    <t xml:space="preserve">Journal (interview)</t>
  </si>
  <si>
    <t xml:space="preserve">Open access (verify)</t>
  </si>
  <si>
    <t xml:space="preserve">Not independently located online; confirm URL/DOI in H2D 8(1).</t>
  </si>
  <si>
    <t xml:space="preserve">IEL-049</t>
  </si>
  <si>
    <t xml:space="preserve">Risam, Roopika; Guiliano, Jennifer; Roy, Samya Brata; Hosny, Reham; Henrickson, Leah</t>
  </si>
  <si>
    <t xml:space="preserve">Jan 2026</t>
  </si>
  <si>
    <t xml:space="preserve">Editors' Note: January 2026 (Special Issue on E-Lit)</t>
  </si>
  <si>
    <t xml:space="preserve">Guest eds.: Roy, Hosny, Henrickson</t>
  </si>
  <si>
    <t xml:space="preserve">10.21428/3e88f64f.e7b07abe</t>
  </si>
  <si>
    <t xml:space="preserve">https://reviewsindh.pubpub.org/pub/editors-note-january-2026/release/3</t>
  </si>
  <si>
    <t xml:space="preserve">Introduces a global e-lit special issue of project reviews, initiated by Roy, spanning digital adaptations of poetry and fiction to extended-reality interactives.</t>
  </si>
  <si>
    <t xml:space="preserve">special issue; project review; e-lit and DH; global e-lit</t>
  </si>
  <si>
    <t xml:space="preserve">Reviews in DH editors' note; Henrickson's UQ publication list</t>
  </si>
  <si>
    <t xml:space="preserve">Second e-lit special issue led by Roy in 2026 (cf. NRHM, IEL-017). Individual reviews in the issue not yet itemised.</t>
  </si>
  <si>
    <t xml:space="preserve">New Review of Hypermedia and Multimedia 32 (2–3), 2026 — India, Digital, LiteratureS: forms and (dis)contents</t>
  </si>
  <si>
    <t xml:space="preserve">Guest editors: Samya Brata Roy, Astrid Ensslin, Zahra Rizvi, Shanmugapriya T · Taylor &amp; Francis</t>
  </si>
  <si>
    <t xml:space="preserve">Order</t>
  </si>
  <si>
    <t xml:space="preserve">Online first</t>
  </si>
  <si>
    <t xml:space="preserve">Editorial grouping (per introduction)</t>
  </si>
  <si>
    <t xml:space="preserve">Roy; Ensslin; Rizvi; Shanmugapriya T</t>
  </si>
  <si>
    <t xml:space="preserve">India, digital, literatureS: forms and (dis)contents (Introduction)</t>
  </si>
  <si>
    <t xml:space="preserve">8 Jul 2026</t>
  </si>
  <si>
    <t xml:space="preserve">Introduction</t>
  </si>
  <si>
    <t xml:space="preserve">12 Dec 2025</t>
  </si>
  <si>
    <t xml:space="preserve">Forms / definitions</t>
  </si>
  <si>
    <t xml:space="preserve">TBC (c.13 pp.)</t>
  </si>
  <si>
    <t xml:space="preserve">18 Sep 2025</t>
  </si>
  <si>
    <t xml:space="preserve">Forms</t>
  </si>
  <si>
    <t xml:space="preserve">Fernandez; Gaur</t>
  </si>
  <si>
    <t xml:space="preserve">TBC (c.26 pp.)</t>
  </si>
  <si>
    <t xml:space="preserve">26 Sep 2025</t>
  </si>
  <si>
    <t xml:space="preserve">TBC (c.20 pp.)</t>
  </si>
  <si>
    <t xml:space="preserve">20 Nov 2025</t>
  </si>
  <si>
    <t xml:space="preserve">Kavitha, K.; Menon, N.</t>
  </si>
  <si>
    <t xml:space="preserve">Trans women’s creative outputs on YouTube as Indian Trans Women Electronic Literature</t>
  </si>
  <si>
    <t xml:space="preserve">Forms / marginal voices</t>
  </si>
  <si>
    <t xml:space="preserve">20 Jan 2025</t>
  </si>
  <si>
    <t xml:space="preserve">(Dis)contents</t>
  </si>
  <si>
    <t xml:space="preserve">Shahid; Ahmad; Ahmad; Khan</t>
  </si>
  <si>
    <t xml:space="preserve">16 Mar 2026</t>
  </si>
  <si>
    <t xml:space="preserve">Bhatt, P.K.; Barad, D.</t>
  </si>
  <si>
    <t xml:space="preserve">3 Apr 2026</t>
  </si>
  <si>
    <t xml:space="preserve">Pedagogy</t>
  </si>
  <si>
    <t xml:space="preserve">Note</t>
  </si>
  <si>
    <t xml:space="preserve">Articles 3–5 are cited in the introduction's reference list; their page spans (c.59 pp. combined) fit the gap between pp.108 and 168, so ordering is inferred. Confirm against the issue TOC.</t>
  </si>
  <si>
    <t xml:space="preserve">Articles in issue</t>
  </si>
  <si>
    <t xml:space="preserve">Creative Works — works discussed in the critical record</t>
  </si>
  <si>
    <t xml:space="preserve">Cross-referenced to Critical Writing by Record ID. Languages marked 'verify' are unconfirmed.</t>
  </si>
  <si>
    <t xml:space="preserve">Work ID</t>
  </si>
  <si>
    <t xml:space="preserve">Creator(s)</t>
  </si>
  <si>
    <t xml:space="preserve">Form</t>
  </si>
  <si>
    <t xml:space="preserve">Language(s)</t>
  </si>
  <si>
    <t xml:space="preserve">Publisher / venue</t>
  </si>
  <si>
    <t xml:space="preserve">Why it matters</t>
  </si>
  <si>
    <t xml:space="preserve">Discussed in</t>
  </si>
  <si>
    <t xml:space="preserve">W-01</t>
  </si>
  <si>
    <t xml:space="preserve">Cloak Room</t>
  </si>
  <si>
    <t xml:space="preserve">Ro Gue</t>
  </si>
  <si>
    <t xml:space="preserve">SMS novel</t>
  </si>
  <si>
    <t xml:space="preserve">English</t>
  </si>
  <si>
    <t xml:space="preserve">3825media / SMS Junction</t>
  </si>
  <si>
    <t xml:space="preserve">Cited as the first Indian SMS novel and start of the 'first wave'</t>
  </si>
  <si>
    <t xml:space="preserve">IEL-002; IEL-003</t>
  </si>
  <si>
    <t xml:space="preserve">W-02</t>
  </si>
  <si>
    <t xml:space="preserve">Neelakannukal</t>
  </si>
  <si>
    <t xml:space="preserve">(author not recorded)</t>
  </si>
  <si>
    <t xml:space="preserve">Malayalam (verify)</t>
  </si>
  <si>
    <t xml:space="preserve">First-wave SMS novel</t>
  </si>
  <si>
    <t xml:space="preserve">W-03</t>
  </si>
  <si>
    <t xml:space="preserve">Deaf Heaven</t>
  </si>
  <si>
    <t xml:space="preserve">English (verify)</t>
  </si>
  <si>
    <t xml:space="preserve">W-04</t>
  </si>
  <si>
    <t xml:space="preserve">We Are Angry</t>
  </si>
  <si>
    <t xml:space="preserve">Lucy Prickett</t>
  </si>
  <si>
    <t xml:space="preserve">Digital story</t>
  </si>
  <si>
    <t xml:space="preserve">weareangry.net</t>
  </si>
  <si>
    <t xml:space="preserve">Award-winning digital story on violence against women in India</t>
  </si>
  <si>
    <t xml:space="preserve">W-05</t>
  </si>
  <si>
    <t xml:space="preserve">Thanner Kuhai (The Water Cave)</t>
  </si>
  <si>
    <t xml:space="preserve">Andy Campbell; Shanmugapriya T; Alex Rushfirth</t>
  </si>
  <si>
    <t xml:space="preserve">VR poetry</t>
  </si>
  <si>
    <t xml:space="preserve">Tamil / English</t>
  </si>
  <si>
    <t xml:space="preserve">Dreaming Methods / One to One Development Trust</t>
  </si>
  <si>
    <t xml:space="preserve">Bilingual immersive poem</t>
  </si>
  <si>
    <t xml:space="preserve">W-06</t>
  </si>
  <si>
    <t xml:space="preserve">Shanmugapriya T (English); Jagadeesh (Tamil)</t>
  </si>
  <si>
    <t xml:space="preserve">Digital poetry with game mechanics</t>
  </si>
  <si>
    <t xml:space="preserve">Lancaster University / AHRC</t>
  </si>
  <si>
    <t xml:space="preserve">Eco-e-lit on Coimbatore water bodies; exhibited ICIDS 2024</t>
  </si>
  <si>
    <t xml:space="preserve">IEL-006; IEL-007; IEL-020; IEL-032</t>
  </si>
  <si>
    <t xml:space="preserve">W-07</t>
  </si>
  <si>
    <t xml:space="preserve">The Lost Oasis</t>
  </si>
  <si>
    <t xml:space="preserve">Andy Campbell; Shanmugapriya T</t>
  </si>
  <si>
    <t xml:space="preserve">Digital poetry / game</t>
  </si>
  <si>
    <t xml:space="preserve">Dreaming Methods</t>
  </si>
  <si>
    <t xml:space="preserve">Collaborative work</t>
  </si>
  <si>
    <t xml:space="preserve">IEL-008 (context)</t>
  </si>
  <si>
    <t xml:space="preserve">W-08</t>
  </si>
  <si>
    <t xml:space="preserve">Blue Is My Favourite Colour</t>
  </si>
  <si>
    <t xml:space="preserve">Simran Bhimjyani</t>
  </si>
  <si>
    <t xml:space="preserve">2026 (Anth. Vol.2)</t>
  </si>
  <si>
    <t xml:space="preserve">Eco e-lit</t>
  </si>
  <si>
    <t xml:space="preserve">Indian E-Lit Anthology Vol.2</t>
  </si>
  <si>
    <t xml:space="preserve">Analysed as eco-e-lit</t>
  </si>
  <si>
    <t xml:space="preserve">IEL-009; IEL-020</t>
  </si>
  <si>
    <t xml:space="preserve">W-09</t>
  </si>
  <si>
    <t xml:space="preserve">Meghadutam</t>
  </si>
  <si>
    <t xml:space="preserve">Priti Pandurangan</t>
  </si>
  <si>
    <t xml:space="preserve">n.d.</t>
  </si>
  <si>
    <t xml:space="preserve">Digital adaptation / eco e-lit</t>
  </si>
  <si>
    <t xml:space="preserve">(verify)</t>
  </si>
  <si>
    <t xml:space="preserve">W-10</t>
  </si>
  <si>
    <t xml:space="preserve">The Sacred Sap</t>
  </si>
  <si>
    <t xml:space="preserve">Mehulkumar Desai</t>
  </si>
  <si>
    <t xml:space="preserve">E-lit</t>
  </si>
  <si>
    <t xml:space="preserve">Creator also a catalogued scholar</t>
  </si>
  <si>
    <t xml:space="preserve">W-11</t>
  </si>
  <si>
    <t xml:space="preserve">Zara’s Odyssey: Echoes of Belonging (v1.1)</t>
  </si>
  <si>
    <t xml:space="preserve">S Anas Ahmad</t>
  </si>
  <si>
    <t xml:space="preserve">Interactive narrative</t>
  </si>
  <si>
    <t xml:space="preserve">Creator also co-author of IEL-024</t>
  </si>
  <si>
    <t xml:space="preserve">W-12</t>
  </si>
  <si>
    <t xml:space="preserve">Gadwal – A short visual narrative of the town submerged in a climate catastrophe</t>
  </si>
  <si>
    <t xml:space="preserve">Arundhathi Padmanabhan</t>
  </si>
  <si>
    <t xml:space="preserve">Visual narrative</t>
  </si>
  <si>
    <t xml:space="preserve">Climate fiction</t>
  </si>
  <si>
    <t xml:space="preserve">W-13</t>
  </si>
  <si>
    <t xml:space="preserve">HyperPoetry Level 1</t>
  </si>
  <si>
    <t xml:space="preserve">Srinjoy Ghosh; Kshitij Gajapure</t>
  </si>
  <si>
    <t xml:space="preserve">Hypertext poetry</t>
  </si>
  <si>
    <t xml:space="preserve">Continuum theory and hypertext</t>
  </si>
  <si>
    <t xml:space="preserve">W-14</t>
  </si>
  <si>
    <t xml:space="preserve">Darshan Diversion</t>
  </si>
  <si>
    <t xml:space="preserve">Padmini Ray Murray</t>
  </si>
  <si>
    <t xml:space="preserve">Game / e-lit</t>
  </si>
  <si>
    <t xml:space="preserve">Menstruation and temple entry</t>
  </si>
  <si>
    <t xml:space="preserve">W-15</t>
  </si>
  <si>
    <t xml:space="preserve">Venba</t>
  </si>
  <si>
    <t xml:space="preserve">Visai Games</t>
  </si>
  <si>
    <t xml:space="preserve">Narrative cooking game</t>
  </si>
  <si>
    <t xml:space="preserve">English / Tamil</t>
  </si>
  <si>
    <t xml:space="preserve">Tamil diasporic memory; decolonial design</t>
  </si>
  <si>
    <t xml:space="preserve">W-16</t>
  </si>
  <si>
    <t xml:space="preserve">Somewhere</t>
  </si>
  <si>
    <t xml:space="preserve">Studio Oleomingus</t>
  </si>
  <si>
    <t xml:space="preserve">in development (2014–)</t>
  </si>
  <si>
    <t xml:space="preserve">Hypertextual point-and-click game</t>
  </si>
  <si>
    <t xml:space="preserve">Postcolonial game</t>
  </si>
  <si>
    <t xml:space="preserve">W-17</t>
  </si>
  <si>
    <t xml:space="preserve">Unrest</t>
  </si>
  <si>
    <t xml:space="preserve">Pyrodactyl Games</t>
  </si>
  <si>
    <t xml:space="preserve">2014</t>
  </si>
  <si>
    <t xml:space="preserve">Indie RPG set in ancient India</t>
  </si>
  <si>
    <t xml:space="preserve">Nonlinear storytelling</t>
  </si>
  <si>
    <t xml:space="preserve">W-18</t>
  </si>
  <si>
    <t xml:space="preserve">Dim O'Gauble</t>
  </si>
  <si>
    <t xml:space="preserve">Andy Campbell</t>
  </si>
  <si>
    <t xml:space="preserve">Digital fiction</t>
  </si>
  <si>
    <t xml:space="preserve">Case study for 'technoeikon' (non-Indian work)</t>
  </si>
  <si>
    <t xml:space="preserve">W-19</t>
  </si>
  <si>
    <t xml:space="preserve">Stone Moons</t>
  </si>
  <si>
    <t xml:space="preserve">Deena Larsen</t>
  </si>
  <si>
    <t xml:space="preserve">Hypertext</t>
  </si>
  <si>
    <t xml:space="preserve">Reviewed and discussed by Desai</t>
  </si>
  <si>
    <t xml:space="preserve">IEL-042; IEL-043</t>
  </si>
  <si>
    <t xml:space="preserve">W-20</t>
  </si>
  <si>
    <t xml:space="preserve">Dérivepedia</t>
  </si>
  <si>
    <t xml:space="preserve">Talan Memmott</t>
  </si>
  <si>
    <t xml:space="preserve">Generative / recombinant digital poetry</t>
  </si>
  <si>
    <t xml:space="preserve">The NEXT (Works on Screen exhibition)</t>
  </si>
  <si>
    <t xml:space="preserve">Subject of Desai's exhibition essay</t>
  </si>
  <si>
    <t xml:space="preserve">W-21</t>
  </si>
  <si>
    <t xml:space="preserve">Are You There? / Kya Tum Ho Waha</t>
  </si>
  <si>
    <t xml:space="preserve">Prakruti Bhatt; Deena Larsen</t>
  </si>
  <si>
    <t xml:space="preserve">c.2024–25</t>
  </si>
  <si>
    <t xml:space="preserve">Collaborative hypertext</t>
  </si>
  <si>
    <t xml:space="preserve">English / Hindi</t>
  </si>
  <si>
    <t xml:space="preserve">Indo-US hypertext collaboration; preceded the Twine workshop</t>
  </si>
  <si>
    <t xml:space="preserve">Scholars — authority file</t>
  </si>
  <si>
    <t xml:space="preserve">Record counts are live COUNTIF formulas on the Critical Writing author column.</t>
  </si>
  <si>
    <t xml:space="preserve">Scholar</t>
  </si>
  <si>
    <t xml:space="preserve">Match key (used in formula)</t>
  </si>
  <si>
    <t xml:space="preserve">Affiliation (latest known)</t>
  </si>
  <si>
    <t xml:space="preserve">ORCID</t>
  </si>
  <si>
    <t xml:space="preserve">Role in repository</t>
  </si>
  <si>
    <t xml:space="preserve">Records (as author/editor)</t>
  </si>
  <si>
    <t xml:space="preserve">Earliest year</t>
  </si>
  <si>
    <t xml:space="preserve">Latest year</t>
  </si>
  <si>
    <t xml:space="preserve">Shanmugapriya</t>
  </si>
  <si>
    <t xml:space="preserve">Asst. Prof. (Digital Humanities), IIT (ISM) Dhanbad</t>
  </si>
  <si>
    <t xml:space="preserve">0000-0002-1524-429X</t>
  </si>
  <si>
    <t xml:space="preserve">Named in brief; SI co-editor; ELO Board; DHARTI Secretary; co-founder ICIDN</t>
  </si>
  <si>
    <t xml:space="preserve">Samya Brata Roy</t>
  </si>
  <si>
    <t xml:space="preserve">Roy, Samya</t>
  </si>
  <si>
    <t xml:space="preserve">Asst. Prof., Dept. of English, GITAM, Hyderabad</t>
  </si>
  <si>
    <t xml:space="preserve">0009-0003-3795-9856</t>
  </si>
  <si>
    <t xml:space="preserve">Named in brief; SI lead editor; co-founder eLitIndia</t>
  </si>
  <si>
    <t xml:space="preserve">K. Kavitha</t>
  </si>
  <si>
    <t xml:space="preserve">Kavitha</t>
  </si>
  <si>
    <t xml:space="preserve">PhD, DH &amp; Publishing Studies Group, IIT Indore</t>
  </si>
  <si>
    <t xml:space="preserve">0009-0009-6834-6992</t>
  </si>
  <si>
    <t xml:space="preserve">Named in brief</t>
  </si>
  <si>
    <t xml:space="preserve">Justy Joseph</t>
  </si>
  <si>
    <t xml:space="preserve">Visiting Asst. Prof., Ashoka University; CE, KSHIP IIT Indore</t>
  </si>
  <si>
    <t xml:space="preserve">Named in brief; Anthology co-editor</t>
  </si>
  <si>
    <t xml:space="preserve">Bhimjyani</t>
  </si>
  <si>
    <t xml:space="preserve">(IIT (ISM) Dhanbad — verify)</t>
  </si>
  <si>
    <t xml:space="preserve">Named in brief; creator and scholar</t>
  </si>
  <si>
    <t xml:space="preserve">Research scholar, IIT (ISM) Dhanbad</t>
  </si>
  <si>
    <t xml:space="preserve">Named in brief; co-founder ICIDN</t>
  </si>
  <si>
    <t xml:space="preserve">Souvik Mukherjee</t>
  </si>
  <si>
    <t xml:space="preserve">Mukherjee</t>
  </si>
  <si>
    <t xml:space="preserve">Presidency University, Kolkata (at 2017)</t>
  </si>
  <si>
    <t xml:space="preserve">Named in brief — 2017 article only</t>
  </si>
  <si>
    <t xml:space="preserve">Prakruti K. Bhatt</t>
  </si>
  <si>
    <t xml:space="preserve">Dept. of English, MKBU, Bhavnagar</t>
  </si>
  <si>
    <t xml:space="preserve">Kavisha D. Alagiya</t>
  </si>
  <si>
    <t xml:space="preserve">Alagiya</t>
  </si>
  <si>
    <t xml:space="preserve">PhD scholar, MKBU, Bhavnagar</t>
  </si>
  <si>
    <t xml:space="preserve">Named in brief ('Kavisha')</t>
  </si>
  <si>
    <t xml:space="preserve">Nirmala Menon</t>
  </si>
  <si>
    <t xml:space="preserve">Menon, Nirmala</t>
  </si>
  <si>
    <t xml:space="preserve">Chair Professor, IIT Indore</t>
  </si>
  <si>
    <t xml:space="preserve">0000-0003-0150-5249</t>
  </si>
  <si>
    <t xml:space="preserve">Frequent co-author; Anthology lead editor</t>
  </si>
  <si>
    <t xml:space="preserve">Ruchi Nagpal</t>
  </si>
  <si>
    <t xml:space="preserve">Nagpal</t>
  </si>
  <si>
    <t xml:space="preserve">Maharaja Agrasen College, Univ. of Delhi</t>
  </si>
  <si>
    <t xml:space="preserve">SI contributor</t>
  </si>
  <si>
    <t xml:space="preserve">Simi K. Salim</t>
  </si>
  <si>
    <t xml:space="preserve">Salim</t>
  </si>
  <si>
    <t xml:space="preserve">Independent researcher / IIT Madras</t>
  </si>
  <si>
    <t xml:space="preserve">Maria Shahid</t>
  </si>
  <si>
    <t xml:space="preserve">Shahid</t>
  </si>
  <si>
    <t xml:space="preserve">Dept. of English, AMU Aligarh</t>
  </si>
  <si>
    <t xml:space="preserve">0000-0002-4326-5741</t>
  </si>
  <si>
    <t xml:space="preserve">Geoffrey Bryan Fernandez</t>
  </si>
  <si>
    <t xml:space="preserve">Fernandez</t>
  </si>
  <si>
    <t xml:space="preserve">HSS, IIT Roorkee</t>
  </si>
  <si>
    <t xml:space="preserve">Zahra Rizvi</t>
  </si>
  <si>
    <t xml:space="preserve">Rizvi</t>
  </si>
  <si>
    <t xml:space="preserve">Center for Digital Narrative, Univ. of Bergen</t>
  </si>
  <si>
    <t xml:space="preserve">0000-0001-8874-8731</t>
  </si>
  <si>
    <t xml:space="preserve">SI co-editor</t>
  </si>
  <si>
    <t xml:space="preserve">Astrid Ensslin</t>
  </si>
  <si>
    <t xml:space="preserve">Ensslin</t>
  </si>
  <si>
    <t xml:space="preserve">Univ. of Regensburg</t>
  </si>
  <si>
    <t xml:space="preserve">0000-0003-2189-0025</t>
  </si>
  <si>
    <t xml:space="preserve">SI co-editor (non-Indian collaborator)</t>
  </si>
  <si>
    <t xml:space="preserve">Scholar Activities — service, editorial, creative and presentation record</t>
  </si>
  <si>
    <t xml:space="preserve">Non-publication activity, kept separate so Critical Writing stays a bibliography. Currently populated for Desai; extend per scholar.</t>
  </si>
  <si>
    <t xml:space="preserve">Activity type</t>
  </si>
  <si>
    <t xml:space="preserve">Description</t>
  </si>
  <si>
    <t xml:space="preserve">Date</t>
  </si>
  <si>
    <t xml:space="preserve">Source</t>
  </si>
  <si>
    <t xml:space="preserve">Status</t>
  </si>
  <si>
    <t xml:space="preserve">Organisation</t>
  </si>
  <si>
    <t xml:space="preserve">Co-founder, Indian Consortium for Interactive Digital Narratives (ICIDN), with Shanmugapriya T</t>
  </si>
  <si>
    <t xml:space="preserve">c.2025–</t>
  </si>
  <si>
    <t xml:space="preserve">STARS bios (ELO 2026)</t>
  </si>
  <si>
    <t xml:space="preserve">Core-committee member, Electronic Literature India; member, ELO and DHARTI</t>
  </si>
  <si>
    <t xml:space="preserve">STARS bio (ELO 2026 workshop)</t>
  </si>
  <si>
    <t xml:space="preserve">Guest editor, IJHAC special issue 'Digital Futures: Archives, AI, and Access in Indian Digital Humanities' (with Shanmugapriya T, Bhimjyani, Mandal)</t>
  </si>
  <si>
    <t xml:space="preserve">forthcoming</t>
  </si>
  <si>
    <t xml:space="preserve">STARS bio; IIT Indore DH Lab profile</t>
  </si>
  <si>
    <t xml:space="preserve">Co-editor, Digital Creativity special issue 'Interactive Digital Narratives: Creativity, Theory, and Emerging Practices' (with Shanmugapriya T, Marttila, Bouchardon)</t>
  </si>
  <si>
    <t xml:space="preserve">CFP 2026</t>
  </si>
  <si>
    <t xml:space="preserve">Taylor &amp; Francis CFP page</t>
  </si>
  <si>
    <t xml:space="preserve">Editor-at-Large, Digital Humanities Now</t>
  </si>
  <si>
    <t xml:space="preserve">STARS bio</t>
  </si>
  <si>
    <t xml:space="preserve">Creative work</t>
  </si>
  <si>
    <t xml:space="preserve">The Sacred Sap — Indian Electronic Literature Anthology Vol. 2</t>
  </si>
  <si>
    <t xml:space="preserve">Anthology site</t>
  </si>
  <si>
    <t xml:space="preserve">Tool localisation</t>
  </si>
  <si>
    <t xml:space="preserve">Gujarati localisation of Voyant Tools (with Bhimjyani)</t>
  </si>
  <si>
    <t xml:space="preserve">Voyant blog (IEL-037)</t>
  </si>
  <si>
    <t xml:space="preserve">Presentation</t>
  </si>
  <si>
    <t xml:space="preserve">ELO 2026: 'Reorienting Electronic Literature' (IEL-029); 'Positioning Electronic literature as an Emerging Creative Industry…' (IEL-030); 'Publishing E-Lit Research in Metric-Driven Academia' (IEL-031)</t>
  </si>
  <si>
    <t xml:space="preserve">STARS</t>
  </si>
  <si>
    <t xml:space="preserve">No presentations before ELO 2026 located in STARS (ELO 2024/2025) or web search</t>
  </si>
  <si>
    <t xml:space="preserve">—</t>
  </si>
  <si>
    <t xml:space="preserve">Searched 25 Sep 2026</t>
  </si>
  <si>
    <t xml:space="preserve">Gap — ask scholar for CV</t>
  </si>
  <si>
    <t xml:space="preserve">Working group</t>
  </si>
  <si>
    <t xml:space="preserve">Participant, Critical Code Studies Working Group 2026</t>
  </si>
  <si>
    <t xml:space="preserve">CCSWG introductions thread</t>
  </si>
  <si>
    <t xml:space="preserve">Guest editor (with Hosny &amp; Henrickson), Reviews in Digital Humanities special issue on E-Lit, vol. 7 no. 1 (Jan 2026)</t>
  </si>
  <si>
    <t xml:space="preserve">Reviews in DH; dh+lib</t>
  </si>
  <si>
    <t xml:space="preserve">Lead guest editor, NRHM special issue 'India, Digital, LiteratureS' (32:2–3)</t>
  </si>
  <si>
    <t xml:space="preserve">2025–26</t>
  </si>
  <si>
    <t xml:space="preserve">T&amp;F</t>
  </si>
  <si>
    <t xml:space="preserve">Founding member, Electronic Literature India (eLitIndia); governing member, DHARTI; graduate member, ARDIN</t>
  </si>
  <si>
    <t xml:space="preserve">GITAM page; Press Start bio</t>
  </si>
  <si>
    <t xml:space="preserve">Service</t>
  </si>
  <si>
    <t xml:space="preserve">Peer reviewer/juror: ELO 2021, ELO 2022, DH2023, ICIDS 2022 art exhibition; ELO 2024 programme committee</t>
  </si>
  <si>
    <t xml:space="preserve">2021–24</t>
  </si>
  <si>
    <t xml:space="preserve">Press Start bio; ELO 2024 committees</t>
  </si>
  <si>
    <t xml:space="preserve">No ELO papers before the 2024 workshop located in STARS; earlier ELO (2021–23) archives use other platforms</t>
  </si>
  <si>
    <t xml:space="preserve">Other publications (outside e-lit scope)</t>
  </si>
  <si>
    <t xml:space="preserve">'Migration, healthcare access, and the role of government schemes: Insights from South Indian trans women', Int. J. of Transgender Health 27(2): 902–916 (online 15 Mar 2025), doi 10.1080/26895269.2025.2478092 (with Menon)</t>
  </si>
  <si>
    <t xml:space="preserve">T&amp;F; PMC</t>
  </si>
  <si>
    <t xml:space="preserve">Book review of Veerendra Mishra, Transgenders in India: An Introduction (Sage journal, 2025; doi 10.1177/13634607251327061) (with Menon)</t>
  </si>
  <si>
    <t xml:space="preserve">Sage</t>
  </si>
  <si>
    <t xml:space="preserve">'Transwomen in Tamil Cinema: Representation and Identity', Women's Link Journal 29(1): 68–75 (with Menon)</t>
  </si>
  <si>
    <t xml:space="preserve">IIT Indore DH Lab list</t>
  </si>
  <si>
    <t xml:space="preserve">Research focus</t>
  </si>
  <si>
    <t xml:space="preserve">Doctoral work: computational DH analysis of novels about trans women; e-lit output to date is IEL-019 only</t>
  </si>
  <si>
    <t xml:space="preserve">Sage author bio</t>
  </si>
  <si>
    <t xml:space="preserve">DHQ 17(3) 2023 (automated bias-analysis metrics); NLP resources for Indian languages (Routledge 2023); DH teaching in virtual classrooms (MLA special issue 2023); literary articles 2020–22</t>
  </si>
  <si>
    <t xml:space="preserve">2020–23</t>
  </si>
  <si>
    <t xml:space="preserve">PhD thesis publication list</t>
  </si>
  <si>
    <t xml:space="preserve">Thesis</t>
  </si>
  <si>
    <t xml:space="preserve">PhD, IIT Indore (viva 2 Jul 2024): 'Partitioned Histories and Beyond' — semi-automated bias analysis of Partition narratives (not e-lit)</t>
  </si>
  <si>
    <t xml:space="preserve">2024</t>
  </si>
  <si>
    <t xml:space="preserve">IIT Indore DSpace</t>
  </si>
  <si>
    <t xml:space="preserve">Co-editor, Indian E-Lit Anthology Vols. I &amp; 2; Managing Editor, Digital Humanities Intersections</t>
  </si>
  <si>
    <t xml:space="preserve">2023–26</t>
  </si>
  <si>
    <t xml:space="preserve">Bhimjyani, Simran</t>
  </si>
  <si>
    <t xml:space="preserve">Blue is my Favourite Colour — Indian E-Lit Anthology Vol. 2</t>
  </si>
  <si>
    <t xml:space="preserve">Guest editor, IJHAC special issue 'Digital Futures' (forthcoming)</t>
  </si>
  <si>
    <t xml:space="preserve">Global DH Symposium 2025 (IEL-050)</t>
  </si>
  <si>
    <t xml:space="preserve">MSU schedule</t>
  </si>
  <si>
    <t xml:space="preserve">'Are You There? / Kya Tum Ho Waha' — collaborative hypertext with Deena Larsen (launched before the MKBU Twine workshop)</t>
  </si>
  <si>
    <t xml:space="preserve">NRHM article note (IEL-025)</t>
  </si>
  <si>
    <t xml:space="preserve">Three further slide decks on ResearchGate: multimodality in born-digital texts (Dec 2023); digital publication and author–reader interaction (Sep 2023); untitled (Mar 2024)</t>
  </si>
  <si>
    <t xml:space="preserve">2023–24</t>
  </si>
  <si>
    <t xml:space="preserve">ResearchGate profile snippets</t>
  </si>
  <si>
    <t xml:space="preserve">Partially verified — titles incomplete</t>
  </si>
  <si>
    <t xml:space="preserve">Presentations (pre-doctoral, outside e-lit)</t>
  </si>
  <si>
    <t xml:space="preserve">Eight conference papers 2017–2022 on ELT, Twitter as a teaching tool, Gandhi, nationalism — none on e-lit</t>
  </si>
  <si>
    <t xml:space="preserve">2017–22</t>
  </si>
  <si>
    <t xml:space="preserve">Author blog</t>
  </si>
  <si>
    <t xml:space="preserve">PhD (MKBU, supervisor Dilip Barad): Storyspace hypertexts of Joyce and Bernstein; e-lit outputs to date are IEL-027 and IEL-028</t>
  </si>
  <si>
    <t xml:space="preserve">Verification Log — leads, conflicts, exclusions</t>
  </si>
  <si>
    <t xml:space="preserve">Items here are deliberately NOT in Critical Writing until confirmed.</t>
  </si>
  <si>
    <t xml:space="preserve">Lead / item</t>
  </si>
  <si>
    <t xml:space="preserve">Next step</t>
  </si>
  <si>
    <t xml:space="preserve">Singh, Ritika (2016)</t>
  </si>
  <si>
    <t xml:space="preserve">Cited by the SI editorial and by Shanmugapriya &amp; Menon (2018) as an early study; full citation not retrieved.</t>
  </si>
  <si>
    <t xml:space="preserve">Obtain reference list of IEL-017 or IEL-002</t>
  </si>
  <si>
    <t xml:space="preserve">Rizvi, Zahra &amp; Mukherjee, Souvik (2023) “Your Subaltern is not my Subaltern”, G|A|M|E 10</t>
  </si>
  <si>
    <t xml:space="preserve">Relevant game-narrative study, but excluded because the brief limits Mukherjee to the 2017 article.</t>
  </si>
  <si>
    <t xml:space="preserve">Add if the Mukherjee restriction is relaxed</t>
  </si>
  <si>
    <t xml:space="preserve">Shanmugapriya T — reviews of 'Tusitala Books' and 'Tamil Digital Heritage Collection', Reviews in Digital Humanities</t>
  </si>
  <si>
    <t xml:space="preserve">Listed on DH Lab profile without dates/status.</t>
  </si>
  <si>
    <t xml:space="preserve">Check Reviews in DH index</t>
  </si>
  <si>
    <t xml:space="preserve">IJHAC special issue: 'Digital Futures: Archives, AI, and Access in Indian Digital Humanities' (eds. Shanmugapriya T, Bhimjyani, Desai, Mandal)</t>
  </si>
  <si>
    <t xml:space="preserve">Forthcoming.</t>
  </si>
  <si>
    <t xml:space="preserve">Catalogue articles on publication</t>
  </si>
  <si>
    <t xml:space="preserve">Digital Creativity special issue: 'Interactive Digital Narratives: Creativity, Theory, and Emerging Practices' (eds. Desai, Shanmugapriya T, Marttila, Bouchardon)</t>
  </si>
  <si>
    <t xml:space="preserve">CFP stage (2026).</t>
  </si>
  <si>
    <t xml:space="preserve">Catalogue on publication</t>
  </si>
  <si>
    <t xml:space="preserve">Indian Electronic Literature Anthology Vol. I — 17 individual works</t>
  </si>
  <si>
    <t xml:space="preserve">Not yet itemised as creative-work records.</t>
  </si>
  <si>
    <t xml:space="preserve">Harvest from anthology PDF</t>
  </si>
  <si>
    <t xml:space="preserve">ELMCIP research collection 'Indian Electronic Literature'</t>
  </si>
  <si>
    <t xml:space="preserve">Could not be harvested (site blocks automated access).</t>
  </si>
  <si>
    <t xml:space="preserve">Manual cross-check against elmcip.net</t>
  </si>
  <si>
    <t xml:space="preserve">Bhatt, Prakruti — further presentations (multimodality, Dec 2023; digital platforms for creative writing)</t>
  </si>
  <si>
    <t xml:space="preserve">Slides on ResearchGate; titles incomplete.</t>
  </si>
  <si>
    <t xml:space="preserve">Check ResearchGate profile</t>
  </si>
  <si>
    <t xml:space="preserve">Alagiya, Kavisha — 'Electronic Literature: An Exploration' (coursework, ResearchGate)</t>
  </si>
  <si>
    <t xml:space="preserve">Coursework presentation; excluded as non-publication.</t>
  </si>
  <si>
    <t xml:space="preserve">Include only if grey literature is wanted</t>
  </si>
  <si>
    <t xml:space="preserve">Sneha, P.P. &amp; Chatterjee, Arup (2015) 'Online Literary Spaces in India', Internet Researchers' Conference, CIS</t>
  </si>
  <si>
    <t xml:space="preserve">Early survey cited by Mukherjee 2017.</t>
  </si>
  <si>
    <t xml:space="preserve">Consider for a pre-2017 'prehistory' tranche</t>
  </si>
  <si>
    <t xml:space="preserve">Desai, Mehulkumar — earlier presentations</t>
  </si>
  <si>
    <t xml:space="preserve">Round-2 search found none before ELO 2026; Google Scholar lists publications only.</t>
  </si>
  <si>
    <t xml:space="preserve">Request Desai's CV or the ICIDN site for talks at DHARTI, ICIDS, departmental seminars</t>
  </si>
  <si>
    <t xml:space="preserve">Reviews in DH vol. 7 no. 1 (Jan 2026) — individual e-lit project reviews</t>
  </si>
  <si>
    <t xml:space="preserve">Four reviews; check whether any are by Indian reviewers or on Indian works.</t>
  </si>
  <si>
    <t xml:space="preserve">Itemise from the issue TOC</t>
  </si>
  <si>
    <t xml:space="preserve">Press Start 10(2) 2024 'The Playful Postcolonial: Culturing Videogames in India'</t>
  </si>
  <si>
    <t xml:space="preserve">Whole themed issue on Indian games; adjacent to digital narrative.</t>
  </si>
  <si>
    <t xml:space="preserve">Decide whether games-only work is in scope; if yes, itemise</t>
  </si>
  <si>
    <t xml:space="preserve">Arjun Ghosh — NPTEL course 'Text, Textuality and Digital Media' (week on e-lit, c.2018)</t>
  </si>
  <si>
    <t xml:space="preserve">Early Indian e-lit pedagogy, cited by Ensslin &amp; Roy (2023).</t>
  </si>
  <si>
    <t xml:space="preserve">Catalogue as a pedagogy record</t>
  </si>
  <si>
    <t xml:space="preserve">GIAN course 'Digital Literatures and Literatures in the Digital', Aligarh Muslim University (taught by Astrid Ensslin)</t>
  </si>
  <si>
    <t xml:space="preserve">Source of the participant data in IEL-024.</t>
  </si>
  <si>
    <t xml:space="preserve">Confirm year; add as pedagogy event</t>
  </si>
  <si>
    <t xml:space="preserve">Surojit Kayal — 'Digital Storytelling as Sense-making Practices in the Sundarban Archipelago' (Global DH Symposium 2025)</t>
  </si>
  <si>
    <t xml:space="preserve">Indian digital-narrative paper in the same programme as IEL-050.</t>
  </si>
  <si>
    <t xml:space="preserve">Verify and add</t>
  </si>
  <si>
    <t xml:space="preserve">Google Scholar profiles (all scholars)</t>
  </si>
  <si>
    <t xml:space="preserve">Blocked to automated access; this sweep used ORCID-linked pages, publisher pages, theses and conference archives instead.</t>
  </si>
  <si>
    <t xml:space="preserve">Paste each profile list to catch anything still missing</t>
  </si>
  <si>
    <t xml:space="preserve">To verify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</si>
</sst>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8C2F39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8C2F39"/>
      <name val="Arial"/>
      <family val="0"/>
      <charset val="1"/>
    </font>
    <font>
      <b val="true"/>
      <sz val="11"/>
      <color rgb="FF8C2F3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8C2F3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2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4EF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C2F3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FD9"/>
          <bgColor rgb="FF000000"/>
        </patternFill>
      </fill>
    </dxf>
    <dxf>
      <fill>
        <patternFill patternType="solid">
          <fgColor rgb="FFFCE8C8"/>
          <bgColor rgb="FF000000"/>
        </patternFill>
      </fill>
    </dxf>
    <dxf>
      <fill>
        <patternFill>
          <bgColor rgb="FFF4EFE6"/>
        </patternFill>
      </fill>
    </dxf>
    <dxf>
      <fill>
        <patternFill>
          <bgColor rgb="FFFCE8C8"/>
        </patternFill>
      </fill>
    </dxf>
    <dxf>
      <fill>
        <patternFill>
          <bgColor rgb="FFDDEF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6"/>
      <rgbColor rgb="FF808080"/>
      <rgbColor rgb="FF9999FF"/>
      <rgbColor rgb="FF8C2F39"/>
      <rgbColor rgb="FFF4EF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FD9"/>
      <rgbColor rgb="FFFCE8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4" t="s">
        <v>3</v>
      </c>
    </row>
    <row r="5" customFormat="false" ht="60" hidden="false" customHeight="true" outlineLevel="0" collapsed="false">
      <c r="A5" s="3" t="s">
        <v>4</v>
      </c>
      <c r="B5" s="4" t="s">
        <v>5</v>
      </c>
    </row>
    <row r="6" customFormat="false" ht="60" hidden="false" customHeight="true" outlineLevel="0" collapsed="false">
      <c r="A6" s="3" t="s">
        <v>6</v>
      </c>
      <c r="B6" s="4" t="s">
        <v>7</v>
      </c>
    </row>
    <row r="7" customFormat="false" ht="60" hidden="false" customHeight="true" outlineLevel="0" collapsed="false">
      <c r="A7" s="3" t="s">
        <v>8</v>
      </c>
      <c r="B7" s="4" t="s">
        <v>9</v>
      </c>
    </row>
    <row r="8" customFormat="false" ht="30" hidden="false" customHeight="true" outlineLevel="0" collapsed="false">
      <c r="A8" s="3" t="s">
        <v>10</v>
      </c>
      <c r="B8" s="4" t="s">
        <v>11</v>
      </c>
    </row>
    <row r="9" customFormat="false" ht="30" hidden="false" customHeight="true" outlineLevel="0" collapsed="false">
      <c r="A9" s="3" t="s">
        <v>12</v>
      </c>
      <c r="B9" s="4" t="s">
        <v>13</v>
      </c>
    </row>
    <row r="10" customFormat="false" ht="30" hidden="false" customHeight="true" outlineLevel="0" collapsed="false">
      <c r="A10" s="3" t="s">
        <v>14</v>
      </c>
      <c r="B10" s="4" t="s">
        <v>15</v>
      </c>
    </row>
    <row r="11" customFormat="false" ht="30" hidden="false" customHeight="true" outlineLevel="0" collapsed="false">
      <c r="A11" s="3" t="s">
        <v>16</v>
      </c>
      <c r="B11" s="4" t="s">
        <v>17</v>
      </c>
    </row>
    <row r="12" customFormat="false" ht="30" hidden="false" customHeight="true" outlineLevel="0" collapsed="false">
      <c r="A12" s="3" t="s">
        <v>18</v>
      </c>
      <c r="B12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5" t="s">
        <v>20</v>
      </c>
    </row>
    <row r="2" customFormat="false" ht="15" hidden="false" customHeight="false" outlineLevel="0" collapsed="false">
      <c r="A2" s="6" t="s">
        <v>21</v>
      </c>
    </row>
    <row r="4" customFormat="false" ht="15" hidden="false" customHeight="false" outlineLevel="0" collapsed="false">
      <c r="A4" s="7" t="s">
        <v>22</v>
      </c>
    </row>
    <row r="5" customFormat="false" ht="15" hidden="false" customHeight="false" outlineLevel="0" collapsed="false">
      <c r="A5" s="8" t="s">
        <v>23</v>
      </c>
      <c r="B5" s="9" t="n">
        <f aca="false">COUNTA('Critical Writing'!A5:A500)</f>
        <v>50</v>
      </c>
    </row>
    <row r="6" customFormat="false" ht="15" hidden="false" customHeight="false" outlineLevel="0" collapsed="false">
      <c r="A6" s="8" t="s">
        <v>24</v>
      </c>
      <c r="B6" s="8" t="n">
        <f aca="false">COUNTIF('Critical Writing'!V5:V500,"Verified")</f>
        <v>38</v>
      </c>
    </row>
    <row r="7" customFormat="false" ht="15" hidden="false" customHeight="false" outlineLevel="0" collapsed="false">
      <c r="A7" s="8" t="s">
        <v>25</v>
      </c>
      <c r="B7" s="8" t="n">
        <f aca="false">COUNTIF('Critical Writing'!V5:V500,"Partially verified")</f>
        <v>12</v>
      </c>
    </row>
    <row r="8" customFormat="false" ht="15" hidden="false" customHeight="false" outlineLevel="0" collapsed="false">
      <c r="A8" s="8" t="s">
        <v>26</v>
      </c>
      <c r="B8" s="8" t="n">
        <f aca="false">COUNTA('Creative Works'!A5:A500)</f>
        <v>21</v>
      </c>
    </row>
    <row r="9" customFormat="false" ht="15" hidden="false" customHeight="false" outlineLevel="0" collapsed="false">
      <c r="A9" s="8" t="s">
        <v>27</v>
      </c>
      <c r="B9" s="8" t="n">
        <f aca="false">COUNTIF('Critical Writing'!G5:G500,"New Review of Hypermedia and Multimedia")</f>
        <v>9</v>
      </c>
    </row>
    <row r="11" customFormat="false" ht="15" hidden="false" customHeight="false" outlineLevel="0" collapsed="false">
      <c r="A11" s="10" t="s">
        <v>28</v>
      </c>
    </row>
    <row r="12" customFormat="false" ht="15" hidden="false" customHeight="false" outlineLevel="0" collapsed="false">
      <c r="A12" s="11" t="s">
        <v>29</v>
      </c>
      <c r="B12" s="11" t="s">
        <v>30</v>
      </c>
      <c r="C12" s="11" t="s">
        <v>31</v>
      </c>
    </row>
    <row r="13" customFormat="false" ht="15" hidden="false" customHeight="false" outlineLevel="0" collapsed="false">
      <c r="A13" s="8" t="s">
        <v>32</v>
      </c>
      <c r="B13" s="8" t="n">
        <f aca="false">COUNTIF('Critical Writing'!$R$5:$R$500,A13)</f>
        <v>3</v>
      </c>
      <c r="C13" s="12" t="n">
        <f aca="false">IF($B$5=0,0,B13/$B$5)</f>
        <v>0.06</v>
      </c>
    </row>
    <row r="14" customFormat="false" ht="15" hidden="false" customHeight="false" outlineLevel="0" collapsed="false">
      <c r="A14" s="8" t="s">
        <v>33</v>
      </c>
      <c r="B14" s="8" t="n">
        <f aca="false">COUNTIF('Critical Writing'!$R$5:$R$500,A14)</f>
        <v>8</v>
      </c>
      <c r="C14" s="12" t="n">
        <f aca="false">IF($B$5=0,0,B14/$B$5)</f>
        <v>0.16</v>
      </c>
    </row>
    <row r="15" customFormat="false" ht="15" hidden="false" customHeight="false" outlineLevel="0" collapsed="false">
      <c r="A15" s="8" t="s">
        <v>34</v>
      </c>
      <c r="B15" s="8" t="n">
        <f aca="false">COUNTIF('Critical Writing'!$R$5:$R$500,A15)</f>
        <v>2</v>
      </c>
      <c r="C15" s="12" t="n">
        <f aca="false">IF($B$5=0,0,B15/$B$5)</f>
        <v>0.04</v>
      </c>
    </row>
    <row r="16" customFormat="false" ht="15" hidden="false" customHeight="false" outlineLevel="0" collapsed="false">
      <c r="A16" s="8" t="s">
        <v>35</v>
      </c>
      <c r="B16" s="8" t="n">
        <f aca="false">COUNTIF('Critical Writing'!$R$5:$R$500,A16)</f>
        <v>1</v>
      </c>
      <c r="C16" s="12" t="n">
        <f aca="false">IF($B$5=0,0,B16/$B$5)</f>
        <v>0.02</v>
      </c>
    </row>
    <row r="17" customFormat="false" ht="15" hidden="false" customHeight="false" outlineLevel="0" collapsed="false">
      <c r="A17" s="8" t="s">
        <v>36</v>
      </c>
      <c r="B17" s="8" t="n">
        <f aca="false">COUNTIF('Critical Writing'!$R$5:$R$500,A17)</f>
        <v>5</v>
      </c>
      <c r="C17" s="12" t="n">
        <f aca="false">IF($B$5=0,0,B17/$B$5)</f>
        <v>0.1</v>
      </c>
    </row>
    <row r="18" customFormat="false" ht="15" hidden="false" customHeight="false" outlineLevel="0" collapsed="false">
      <c r="A18" s="8" t="s">
        <v>37</v>
      </c>
      <c r="B18" s="8" t="n">
        <f aca="false">COUNTIF('Critical Writing'!$R$5:$R$500,A18)</f>
        <v>8</v>
      </c>
      <c r="C18" s="12" t="n">
        <f aca="false">IF($B$5=0,0,B18/$B$5)</f>
        <v>0.16</v>
      </c>
    </row>
    <row r="19" customFormat="false" ht="15" hidden="false" customHeight="false" outlineLevel="0" collapsed="false">
      <c r="A19" s="8" t="s">
        <v>38</v>
      </c>
      <c r="B19" s="8" t="n">
        <f aca="false">COUNTIF('Critical Writing'!$R$5:$R$500,A19)</f>
        <v>2</v>
      </c>
      <c r="C19" s="12" t="n">
        <f aca="false">IF($B$5=0,0,B19/$B$5)</f>
        <v>0.04</v>
      </c>
    </row>
    <row r="20" customFormat="false" ht="15" hidden="false" customHeight="false" outlineLevel="0" collapsed="false">
      <c r="A20" s="8" t="s">
        <v>39</v>
      </c>
      <c r="B20" s="8" t="n">
        <f aca="false">COUNTIF('Critical Writing'!$R$5:$R$500,A20)</f>
        <v>4</v>
      </c>
      <c r="C20" s="12" t="n">
        <f aca="false">IF($B$5=0,0,B20/$B$5)</f>
        <v>0.08</v>
      </c>
    </row>
    <row r="21" customFormat="false" ht="15" hidden="false" customHeight="false" outlineLevel="0" collapsed="false">
      <c r="A21" s="8" t="s">
        <v>40</v>
      </c>
      <c r="B21" s="8" t="n">
        <f aca="false">COUNTIF('Critical Writing'!$R$5:$R$500,A21)</f>
        <v>2</v>
      </c>
      <c r="C21" s="12" t="n">
        <f aca="false">IF($B$5=0,0,B21/$B$5)</f>
        <v>0.04</v>
      </c>
    </row>
    <row r="22" customFormat="false" ht="15" hidden="false" customHeight="false" outlineLevel="0" collapsed="false">
      <c r="A22" s="8" t="s">
        <v>41</v>
      </c>
      <c r="B22" s="8" t="n">
        <f aca="false">COUNTIF('Critical Writing'!$R$5:$R$500,A22)</f>
        <v>3</v>
      </c>
      <c r="C22" s="12" t="n">
        <f aca="false">IF($B$5=0,0,B22/$B$5)</f>
        <v>0.06</v>
      </c>
    </row>
    <row r="23" customFormat="false" ht="15" hidden="false" customHeight="false" outlineLevel="0" collapsed="false">
      <c r="A23" s="8" t="s">
        <v>42</v>
      </c>
      <c r="B23" s="8" t="n">
        <f aca="false">COUNTIF('Critical Writing'!$R$5:$R$500,A23)</f>
        <v>5</v>
      </c>
      <c r="C23" s="12" t="n">
        <f aca="false">IF($B$5=0,0,B23/$B$5)</f>
        <v>0.1</v>
      </c>
    </row>
    <row r="24" customFormat="false" ht="15" hidden="false" customHeight="false" outlineLevel="0" collapsed="false">
      <c r="A24" s="8" t="s">
        <v>43</v>
      </c>
      <c r="B24" s="8" t="n">
        <f aca="false">COUNTIF('Critical Writing'!$R$5:$R$500,A24)</f>
        <v>7</v>
      </c>
      <c r="C24" s="12" t="n">
        <f aca="false">IF($B$5=0,0,B24/$B$5)</f>
        <v>0.14</v>
      </c>
    </row>
    <row r="26" customFormat="false" ht="15" hidden="false" customHeight="false" outlineLevel="0" collapsed="false">
      <c r="A26" s="10" t="s">
        <v>44</v>
      </c>
    </row>
    <row r="27" customFormat="false" ht="15" hidden="false" customHeight="false" outlineLevel="0" collapsed="false">
      <c r="A27" s="11" t="s">
        <v>29</v>
      </c>
      <c r="B27" s="11" t="s">
        <v>30</v>
      </c>
      <c r="C27" s="11" t="s">
        <v>31</v>
      </c>
    </row>
    <row r="28" customFormat="false" ht="15" hidden="false" customHeight="false" outlineLevel="0" collapsed="false">
      <c r="A28" s="8" t="n">
        <v>2017</v>
      </c>
      <c r="B28" s="8" t="n">
        <f aca="false">COUNTIF('Critical Writing'!$C$5:$C$500,A28)</f>
        <v>1</v>
      </c>
      <c r="C28" s="12" t="n">
        <f aca="false">IF($B$5=0,0,B28/$B$5)</f>
        <v>0.02</v>
      </c>
    </row>
    <row r="29" customFormat="false" ht="15" hidden="false" customHeight="false" outlineLevel="0" collapsed="false">
      <c r="A29" s="8" t="n">
        <v>2018</v>
      </c>
      <c r="B29" s="8" t="n">
        <f aca="false">COUNTIF('Critical Writing'!$C$5:$C$500,A29)</f>
        <v>2</v>
      </c>
      <c r="C29" s="12" t="n">
        <f aca="false">IF($B$5=0,0,B29/$B$5)</f>
        <v>0.04</v>
      </c>
    </row>
    <row r="30" customFormat="false" ht="15" hidden="false" customHeight="false" outlineLevel="0" collapsed="false">
      <c r="A30" s="8" t="n">
        <v>2019</v>
      </c>
      <c r="B30" s="8" t="n">
        <f aca="false">COUNTIF('Critical Writing'!$C$5:$C$500,A30)</f>
        <v>2</v>
      </c>
      <c r="C30" s="12" t="n">
        <f aca="false">IF($B$5=0,0,B30/$B$5)</f>
        <v>0.04</v>
      </c>
    </row>
    <row r="31" customFormat="false" ht="15" hidden="false" customHeight="false" outlineLevel="0" collapsed="false">
      <c r="A31" s="8" t="n">
        <v>2020</v>
      </c>
      <c r="B31" s="8" t="n">
        <f aca="false">COUNTIF('Critical Writing'!$C$5:$C$500,A31)</f>
        <v>2</v>
      </c>
      <c r="C31" s="12" t="n">
        <f aca="false">IF($B$5=0,0,B31/$B$5)</f>
        <v>0.04</v>
      </c>
    </row>
    <row r="32" customFormat="false" ht="15" hidden="false" customHeight="false" outlineLevel="0" collapsed="false">
      <c r="A32" s="8" t="n">
        <v>2021</v>
      </c>
      <c r="B32" s="8" t="n">
        <f aca="false">COUNTIF('Critical Writing'!$C$5:$C$500,A32)</f>
        <v>2</v>
      </c>
      <c r="C32" s="12" t="n">
        <f aca="false">IF($B$5=0,0,B32/$B$5)</f>
        <v>0.04</v>
      </c>
    </row>
    <row r="33" customFormat="false" ht="15" hidden="false" customHeight="false" outlineLevel="0" collapsed="false">
      <c r="A33" s="8" t="n">
        <v>2022</v>
      </c>
      <c r="B33" s="8" t="n">
        <f aca="false">COUNTIF('Critical Writing'!$C$5:$C$500,A33)</f>
        <v>6</v>
      </c>
      <c r="C33" s="12" t="n">
        <f aca="false">IF($B$5=0,0,B33/$B$5)</f>
        <v>0.12</v>
      </c>
    </row>
    <row r="34" customFormat="false" ht="15" hidden="false" customHeight="false" outlineLevel="0" collapsed="false">
      <c r="A34" s="8" t="n">
        <v>2023</v>
      </c>
      <c r="B34" s="8" t="n">
        <f aca="false">COUNTIF('Critical Writing'!$C$5:$C$500,A34)</f>
        <v>3</v>
      </c>
      <c r="C34" s="12" t="n">
        <f aca="false">IF($B$5=0,0,B34/$B$5)</f>
        <v>0.06</v>
      </c>
    </row>
    <row r="35" customFormat="false" ht="15" hidden="false" customHeight="false" outlineLevel="0" collapsed="false">
      <c r="A35" s="8" t="n">
        <v>2024</v>
      </c>
      <c r="B35" s="8" t="n">
        <f aca="false">COUNTIF('Critical Writing'!$C$5:$C$500,A35)</f>
        <v>6</v>
      </c>
      <c r="C35" s="12" t="n">
        <f aca="false">IF($B$5=0,0,B35/$B$5)</f>
        <v>0.12</v>
      </c>
    </row>
    <row r="36" customFormat="false" ht="15" hidden="false" customHeight="false" outlineLevel="0" collapsed="false">
      <c r="A36" s="8" t="n">
        <v>2025</v>
      </c>
      <c r="B36" s="8" t="n">
        <f aca="false">COUNTIF('Critical Writing'!$C$5:$C$500,A36)</f>
        <v>10</v>
      </c>
      <c r="C36" s="12" t="n">
        <f aca="false">IF($B$5=0,0,B36/$B$5)</f>
        <v>0.2</v>
      </c>
    </row>
    <row r="37" customFormat="false" ht="15" hidden="false" customHeight="false" outlineLevel="0" collapsed="false">
      <c r="A37" s="8" t="n">
        <v>2026</v>
      </c>
      <c r="B37" s="8" t="n">
        <f aca="false">COUNTIF('Critical Writing'!$C$5:$C$500,A37)</f>
        <v>16</v>
      </c>
      <c r="C37" s="12" t="n">
        <f aca="false">IF($B$5=0,0,B37/$B$5)</f>
        <v>0.32</v>
      </c>
    </row>
    <row r="39" customFormat="false" ht="15" hidden="false" customHeight="false" outlineLevel="0" collapsed="false">
      <c r="A39" s="10" t="s">
        <v>45</v>
      </c>
    </row>
    <row r="40" customFormat="false" ht="15" hidden="false" customHeight="false" outlineLevel="0" collapsed="false">
      <c r="A40" s="11" t="s">
        <v>29</v>
      </c>
      <c r="B40" s="11" t="s">
        <v>30</v>
      </c>
      <c r="C40" s="11" t="s">
        <v>31</v>
      </c>
    </row>
    <row r="41" customFormat="false" ht="15" hidden="false" customHeight="false" outlineLevel="0" collapsed="false">
      <c r="A41" s="8" t="s">
        <v>46</v>
      </c>
      <c r="B41" s="8" t="n">
        <f aca="false">COUNTIF('Critical Writing'!$F$5:$F$500,A41)</f>
        <v>2</v>
      </c>
      <c r="C41" s="12" t="n">
        <f aca="false">IF($B$5=0,0,B41/$B$5)</f>
        <v>0.04</v>
      </c>
    </row>
    <row r="42" customFormat="false" ht="15" hidden="false" customHeight="false" outlineLevel="0" collapsed="false">
      <c r="A42" s="8" t="s">
        <v>47</v>
      </c>
      <c r="B42" s="8" t="n">
        <f aca="false">COUNTIF('Critical Writing'!$F$5:$F$500,A42)</f>
        <v>1</v>
      </c>
      <c r="C42" s="12" t="n">
        <f aca="false">IF($B$5=0,0,B42/$B$5)</f>
        <v>0.02</v>
      </c>
    </row>
    <row r="43" customFormat="false" ht="15" hidden="false" customHeight="false" outlineLevel="0" collapsed="false">
      <c r="A43" s="8" t="s">
        <v>48</v>
      </c>
      <c r="B43" s="8" t="n">
        <f aca="false">COUNTIF('Critical Writing'!$F$5:$F$500,A43)</f>
        <v>5</v>
      </c>
      <c r="C43" s="12" t="n">
        <f aca="false">IF($B$5=0,0,B43/$B$5)</f>
        <v>0.1</v>
      </c>
    </row>
    <row r="44" customFormat="false" ht="15" hidden="false" customHeight="false" outlineLevel="0" collapsed="false">
      <c r="A44" s="8" t="s">
        <v>49</v>
      </c>
      <c r="B44" s="8" t="n">
        <f aca="false">COUNTIF('Critical Writing'!$F$5:$F$500,A44)</f>
        <v>2</v>
      </c>
      <c r="C44" s="12" t="n">
        <f aca="false">IF($B$5=0,0,B44/$B$5)</f>
        <v>0.04</v>
      </c>
    </row>
    <row r="45" customFormat="false" ht="15" hidden="false" customHeight="false" outlineLevel="0" collapsed="false">
      <c r="A45" s="8" t="s">
        <v>50</v>
      </c>
      <c r="B45" s="8" t="n">
        <f aca="false">COUNTIF('Critical Writing'!$F$5:$F$500,A45)</f>
        <v>1</v>
      </c>
      <c r="C45" s="12" t="n">
        <f aca="false">IF($B$5=0,0,B45/$B$5)</f>
        <v>0.02</v>
      </c>
    </row>
    <row r="46" customFormat="false" ht="15" hidden="false" customHeight="false" outlineLevel="0" collapsed="false">
      <c r="A46" s="8" t="s">
        <v>51</v>
      </c>
      <c r="B46" s="8" t="n">
        <f aca="false">COUNTIF('Critical Writing'!$F$5:$F$500,A46)</f>
        <v>5</v>
      </c>
      <c r="C46" s="12" t="n">
        <f aca="false">IF($B$5=0,0,B46/$B$5)</f>
        <v>0.1</v>
      </c>
    </row>
    <row r="47" customFormat="false" ht="15" hidden="false" customHeight="false" outlineLevel="0" collapsed="false">
      <c r="A47" s="8" t="s">
        <v>52</v>
      </c>
      <c r="B47" s="8" t="n">
        <f aca="false">COUNTIF('Critical Writing'!$F$5:$F$500,A47)</f>
        <v>1</v>
      </c>
      <c r="C47" s="12" t="n">
        <f aca="false">IF($B$5=0,0,B47/$B$5)</f>
        <v>0.02</v>
      </c>
    </row>
    <row r="48" customFormat="false" ht="15" hidden="false" customHeight="false" outlineLevel="0" collapsed="false">
      <c r="A48" s="8" t="s">
        <v>53</v>
      </c>
      <c r="B48" s="8" t="n">
        <f aca="false">COUNTIF('Critical Writing'!$F$5:$F$500,A48)</f>
        <v>2</v>
      </c>
      <c r="C48" s="12" t="n">
        <f aca="false">IF($B$5=0,0,B48/$B$5)</f>
        <v>0.04</v>
      </c>
    </row>
    <row r="49" customFormat="false" ht="15" hidden="false" customHeight="false" outlineLevel="0" collapsed="false">
      <c r="A49" s="8" t="s">
        <v>54</v>
      </c>
      <c r="B49" s="8" t="n">
        <f aca="false">COUNTIF('Critical Writing'!$F$5:$F$500,A49)</f>
        <v>1</v>
      </c>
      <c r="C49" s="12" t="n">
        <f aca="false">IF($B$5=0,0,B49/$B$5)</f>
        <v>0.02</v>
      </c>
    </row>
    <row r="50" customFormat="false" ht="15" hidden="false" customHeight="false" outlineLevel="0" collapsed="false">
      <c r="A50" s="8" t="s">
        <v>55</v>
      </c>
      <c r="B50" s="8" t="n">
        <f aca="false">COUNTIF('Critical Writing'!$F$5:$F$500,A50)</f>
        <v>3</v>
      </c>
      <c r="C50" s="12" t="n">
        <f aca="false">IF($B$5=0,0,B50/$B$5)</f>
        <v>0.06</v>
      </c>
    </row>
    <row r="51" customFormat="false" ht="15" hidden="false" customHeight="false" outlineLevel="0" collapsed="false">
      <c r="A51" s="8" t="s">
        <v>56</v>
      </c>
      <c r="B51" s="8" t="n">
        <f aca="false">COUNTIF('Critical Writing'!$F$5:$F$500,A51)</f>
        <v>19</v>
      </c>
      <c r="C51" s="12" t="n">
        <f aca="false">IF($B$5=0,0,B51/$B$5)</f>
        <v>0.38</v>
      </c>
    </row>
    <row r="52" customFormat="false" ht="15" hidden="false" customHeight="false" outlineLevel="0" collapsed="false">
      <c r="A52" s="8" t="s">
        <v>57</v>
      </c>
      <c r="B52" s="8" t="n">
        <f aca="false">COUNTIF('Critical Writing'!$F$5:$F$500,A52)</f>
        <v>1</v>
      </c>
      <c r="C52" s="12" t="n">
        <f aca="false">IF($B$5=0,0,B52/$B$5)</f>
        <v>0.02</v>
      </c>
    </row>
    <row r="53" customFormat="false" ht="15" hidden="false" customHeight="false" outlineLevel="0" collapsed="false">
      <c r="A53" s="8" t="s">
        <v>58</v>
      </c>
      <c r="B53" s="8" t="n">
        <f aca="false">COUNTIF('Critical Writing'!$F$5:$F$500,A53)</f>
        <v>1</v>
      </c>
      <c r="C53" s="12" t="n">
        <f aca="false">IF($B$5=0,0,B53/$B$5)</f>
        <v>0.02</v>
      </c>
    </row>
    <row r="54" customFormat="false" ht="15" hidden="false" customHeight="false" outlineLevel="0" collapsed="false">
      <c r="A54" s="8" t="s">
        <v>59</v>
      </c>
      <c r="B54" s="8" t="n">
        <f aca="false">COUNTIF('Critical Writing'!$F$5:$F$500,A54)</f>
        <v>1</v>
      </c>
      <c r="C54" s="12" t="n">
        <f aca="false">IF($B$5=0,0,B54/$B$5)</f>
        <v>0.02</v>
      </c>
    </row>
    <row r="55" customFormat="false" ht="15" hidden="false" customHeight="false" outlineLevel="0" collapsed="false">
      <c r="A55" s="8" t="s">
        <v>60</v>
      </c>
      <c r="B55" s="8" t="n">
        <f aca="false">COUNTIF('Critical Writing'!$F$5:$F$500,A55)</f>
        <v>1</v>
      </c>
      <c r="C55" s="12" t="n">
        <f aca="false">IF($B$5=0,0,B55/$B$5)</f>
        <v>0.02</v>
      </c>
    </row>
    <row r="56" customFormat="false" ht="15" hidden="false" customHeight="false" outlineLevel="0" collapsed="false">
      <c r="A56" s="8" t="s">
        <v>61</v>
      </c>
      <c r="B56" s="8" t="n">
        <f aca="false">COUNTIF('Critical Writing'!$F$5:$F$500,A56)</f>
        <v>1</v>
      </c>
      <c r="C56" s="12" t="n">
        <f aca="false">IF($B$5=0,0,B56/$B$5)</f>
        <v>0.02</v>
      </c>
    </row>
    <row r="57" customFormat="false" ht="15" hidden="false" customHeight="false" outlineLevel="0" collapsed="false">
      <c r="A57" s="8" t="s">
        <v>62</v>
      </c>
      <c r="B57" s="8" t="n">
        <f aca="false">COUNTIF('Critical Writing'!$F$5:$F$500,A57)</f>
        <v>1</v>
      </c>
      <c r="C57" s="12" t="n">
        <f aca="false">IF($B$5=0,0,B57/$B$5)</f>
        <v>0.02</v>
      </c>
    </row>
    <row r="58" customFormat="false" ht="15" hidden="false" customHeight="false" outlineLevel="0" collapsed="false">
      <c r="A58" s="8" t="s">
        <v>63</v>
      </c>
      <c r="B58" s="8" t="n">
        <f aca="false">COUNTIF('Critical Writing'!$F$5:$F$500,A58)</f>
        <v>2</v>
      </c>
      <c r="C58" s="12" t="n">
        <f aca="false">IF($B$5=0,0,B58/$B$5)</f>
        <v>0.04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24"/>
    <col collapsed="false" customWidth="true" hidden="false" outlineLevel="0" max="9" min="9" style="0" width="6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20"/>
    <col collapsed="false" customWidth="true" hidden="false" outlineLevel="0" max="13" min="13" style="0" width="26"/>
    <col collapsed="false" customWidth="true" hidden="false" outlineLevel="0" max="14" min="14" style="0" width="34"/>
    <col collapsed="false" customWidth="true" hidden="false" outlineLevel="0" max="15" min="15" style="0" width="60"/>
    <col collapsed="false" customWidth="true" hidden="false" outlineLevel="0" max="17" min="16" style="0" width="34"/>
    <col collapsed="false" customWidth="true" hidden="false" outlineLevel="0" max="18" min="18" style="0" width="26"/>
    <col collapsed="false" customWidth="true" hidden="false" outlineLevel="0" max="19" min="19" style="0" width="22"/>
    <col collapsed="false" customWidth="true" hidden="false" outlineLevel="0" max="21" min="20" style="0" width="16"/>
    <col collapsed="false" customWidth="true" hidden="false" outlineLevel="0" max="22" min="22" style="0" width="14"/>
    <col collapsed="false" customWidth="true" hidden="false" outlineLevel="0" max="23" min="23" style="0" width="26"/>
    <col collapsed="false" customWidth="true" hidden="false" outlineLevel="0" max="24" min="24" style="0" width="40"/>
  </cols>
  <sheetData>
    <row r="1" customFormat="false" ht="17.35" hidden="false" customHeight="false" outlineLevel="0" collapsed="false">
      <c r="A1" s="5" t="s">
        <v>64</v>
      </c>
    </row>
    <row r="2" customFormat="false" ht="15" hidden="false" customHeight="false" outlineLevel="0" collapsed="false">
      <c r="A2" s="6" t="s">
        <v>65</v>
      </c>
    </row>
    <row r="4" customFormat="false" ht="30" hidden="false" customHeight="true" outlineLevel="0" collapsed="false">
      <c r="A4" s="13" t="s">
        <v>66</v>
      </c>
      <c r="B4" s="13" t="s">
        <v>67</v>
      </c>
      <c r="C4" s="13" t="s">
        <v>68</v>
      </c>
      <c r="D4" s="13" t="s">
        <v>69</v>
      </c>
      <c r="E4" s="13" t="s">
        <v>70</v>
      </c>
      <c r="F4" s="13" t="s">
        <v>71</v>
      </c>
      <c r="G4" s="13" t="s">
        <v>72</v>
      </c>
      <c r="H4" s="13" t="s">
        <v>73</v>
      </c>
      <c r="I4" s="13" t="s">
        <v>74</v>
      </c>
      <c r="J4" s="13" t="s">
        <v>75</v>
      </c>
      <c r="K4" s="13" t="s">
        <v>76</v>
      </c>
      <c r="L4" s="13" t="s">
        <v>77</v>
      </c>
      <c r="M4" s="13" t="s">
        <v>78</v>
      </c>
      <c r="N4" s="13" t="s">
        <v>79</v>
      </c>
      <c r="O4" s="13" t="s">
        <v>80</v>
      </c>
      <c r="P4" s="13" t="s">
        <v>81</v>
      </c>
      <c r="Q4" s="13" t="s">
        <v>82</v>
      </c>
      <c r="R4" s="13" t="s">
        <v>83</v>
      </c>
      <c r="S4" s="13" t="s">
        <v>84</v>
      </c>
      <c r="T4" s="13" t="s">
        <v>85</v>
      </c>
      <c r="U4" s="13" t="s">
        <v>86</v>
      </c>
      <c r="V4" s="13" t="s">
        <v>10</v>
      </c>
      <c r="W4" s="13" t="s">
        <v>87</v>
      </c>
      <c r="X4" s="13" t="s">
        <v>88</v>
      </c>
    </row>
    <row r="5" customFormat="false" ht="96" hidden="false" customHeight="true" outlineLevel="0" collapsed="false">
      <c r="A5" s="14" t="s">
        <v>89</v>
      </c>
      <c r="B5" s="15" t="s">
        <v>90</v>
      </c>
      <c r="C5" s="15" t="n">
        <v>2017</v>
      </c>
      <c r="D5" s="15" t="s">
        <v>91</v>
      </c>
      <c r="E5" s="16" t="s">
        <v>92</v>
      </c>
      <c r="F5" s="15" t="s">
        <v>56</v>
      </c>
      <c r="G5" s="15" t="s">
        <v>93</v>
      </c>
      <c r="H5" s="15" t="s">
        <v>94</v>
      </c>
      <c r="I5" s="15"/>
      <c r="J5" s="15" t="s">
        <v>95</v>
      </c>
      <c r="K5" s="15"/>
      <c r="L5" s="15" t="s">
        <v>96</v>
      </c>
      <c r="M5" s="15" t="s">
        <v>97</v>
      </c>
      <c r="N5" s="15" t="s">
        <v>98</v>
      </c>
      <c r="O5" s="15" t="s">
        <v>99</v>
      </c>
      <c r="P5" s="15" t="s">
        <v>100</v>
      </c>
      <c r="Q5" s="15" t="s">
        <v>101</v>
      </c>
      <c r="R5" s="15" t="s">
        <v>37</v>
      </c>
      <c r="S5" s="15" t="s">
        <v>102</v>
      </c>
      <c r="T5" s="15" t="s">
        <v>103</v>
      </c>
      <c r="U5" s="15" t="s">
        <v>104</v>
      </c>
      <c r="V5" s="15" t="s">
        <v>24</v>
      </c>
      <c r="W5" s="15" t="s">
        <v>105</v>
      </c>
      <c r="X5" s="15" t="s">
        <v>106</v>
      </c>
    </row>
    <row r="6" customFormat="false" ht="96" hidden="false" customHeight="true" outlineLevel="0" collapsed="false">
      <c r="A6" s="14" t="s">
        <v>107</v>
      </c>
      <c r="B6" s="15" t="s">
        <v>108</v>
      </c>
      <c r="C6" s="15" t="n">
        <v>2018</v>
      </c>
      <c r="D6" s="15" t="s">
        <v>109</v>
      </c>
      <c r="E6" s="16" t="s">
        <v>110</v>
      </c>
      <c r="F6" s="15" t="s">
        <v>58</v>
      </c>
      <c r="G6" s="15" t="s">
        <v>111</v>
      </c>
      <c r="H6" s="15"/>
      <c r="I6" s="15" t="s">
        <v>112</v>
      </c>
      <c r="J6" s="15" t="s">
        <v>113</v>
      </c>
      <c r="K6" s="15" t="s">
        <v>114</v>
      </c>
      <c r="L6" s="15" t="s">
        <v>115</v>
      </c>
      <c r="M6" s="15" t="s">
        <v>116</v>
      </c>
      <c r="N6" s="15" t="s">
        <v>117</v>
      </c>
      <c r="O6" s="15" t="s">
        <v>118</v>
      </c>
      <c r="P6" s="15" t="s">
        <v>119</v>
      </c>
      <c r="Q6" s="15" t="s">
        <v>120</v>
      </c>
      <c r="R6" s="15" t="s">
        <v>37</v>
      </c>
      <c r="S6" s="15" t="s">
        <v>121</v>
      </c>
      <c r="T6" s="15" t="s">
        <v>122</v>
      </c>
      <c r="U6" s="15" t="s">
        <v>104</v>
      </c>
      <c r="V6" s="15" t="s">
        <v>24</v>
      </c>
      <c r="W6" s="15" t="s">
        <v>123</v>
      </c>
      <c r="X6" s="15" t="s">
        <v>124</v>
      </c>
    </row>
    <row r="7" customFormat="false" ht="96" hidden="false" customHeight="true" outlineLevel="0" collapsed="false">
      <c r="A7" s="14" t="s">
        <v>125</v>
      </c>
      <c r="B7" s="15" t="s">
        <v>126</v>
      </c>
      <c r="C7" s="15" t="n">
        <v>2018</v>
      </c>
      <c r="D7" s="15" t="s">
        <v>127</v>
      </c>
      <c r="E7" s="16" t="s">
        <v>128</v>
      </c>
      <c r="F7" s="15" t="s">
        <v>60</v>
      </c>
      <c r="G7" s="15" t="s">
        <v>129</v>
      </c>
      <c r="H7" s="15"/>
      <c r="I7" s="15"/>
      <c r="J7" s="15" t="s">
        <v>130</v>
      </c>
      <c r="K7" s="15" t="s">
        <v>131</v>
      </c>
      <c r="L7" s="15" t="s">
        <v>132</v>
      </c>
      <c r="M7" s="15"/>
      <c r="N7" s="15" t="s">
        <v>133</v>
      </c>
      <c r="O7" s="15" t="s">
        <v>134</v>
      </c>
      <c r="P7" s="15" t="s">
        <v>135</v>
      </c>
      <c r="Q7" s="15" t="s">
        <v>136</v>
      </c>
      <c r="R7" s="15" t="s">
        <v>35</v>
      </c>
      <c r="S7" s="15" t="s">
        <v>121</v>
      </c>
      <c r="T7" s="15" t="s">
        <v>137</v>
      </c>
      <c r="U7" s="15" t="s">
        <v>104</v>
      </c>
      <c r="V7" s="15" t="s">
        <v>24</v>
      </c>
      <c r="W7" s="15" t="s">
        <v>138</v>
      </c>
      <c r="X7" s="15" t="s">
        <v>139</v>
      </c>
    </row>
    <row r="8" customFormat="false" ht="96" hidden="false" customHeight="true" outlineLevel="0" collapsed="false">
      <c r="A8" s="14" t="s">
        <v>140</v>
      </c>
      <c r="B8" s="15" t="s">
        <v>108</v>
      </c>
      <c r="C8" s="15" t="n">
        <v>2019</v>
      </c>
      <c r="D8" s="15" t="s">
        <v>141</v>
      </c>
      <c r="E8" s="16" t="s">
        <v>142</v>
      </c>
      <c r="F8" s="15" t="s">
        <v>56</v>
      </c>
      <c r="G8" s="15" t="s">
        <v>143</v>
      </c>
      <c r="H8" s="15"/>
      <c r="I8" s="15" t="s">
        <v>144</v>
      </c>
      <c r="J8" s="15" t="s">
        <v>145</v>
      </c>
      <c r="K8" s="15" t="s">
        <v>146</v>
      </c>
      <c r="L8" s="15" t="s">
        <v>147</v>
      </c>
      <c r="M8" s="15"/>
      <c r="N8" s="15" t="s">
        <v>148</v>
      </c>
      <c r="O8" s="15" t="s">
        <v>149</v>
      </c>
      <c r="P8" s="15" t="s">
        <v>150</v>
      </c>
      <c r="Q8" s="15" t="s">
        <v>151</v>
      </c>
      <c r="R8" s="15" t="s">
        <v>37</v>
      </c>
      <c r="S8" s="15" t="s">
        <v>121</v>
      </c>
      <c r="T8" s="15" t="s">
        <v>122</v>
      </c>
      <c r="U8" s="15" t="s">
        <v>152</v>
      </c>
      <c r="V8" s="15" t="s">
        <v>25</v>
      </c>
      <c r="W8" s="15" t="s">
        <v>153</v>
      </c>
      <c r="X8" s="15" t="s">
        <v>154</v>
      </c>
    </row>
    <row r="9" customFormat="false" ht="96" hidden="false" customHeight="true" outlineLevel="0" collapsed="false">
      <c r="A9" s="14" t="s">
        <v>155</v>
      </c>
      <c r="B9" s="15" t="s">
        <v>156</v>
      </c>
      <c r="C9" s="15" t="n">
        <v>2019</v>
      </c>
      <c r="D9" s="15" t="s">
        <v>157</v>
      </c>
      <c r="E9" s="16" t="s">
        <v>158</v>
      </c>
      <c r="F9" s="15" t="s">
        <v>56</v>
      </c>
      <c r="G9" s="15" t="s">
        <v>159</v>
      </c>
      <c r="H9" s="15"/>
      <c r="I9" s="15" t="s">
        <v>160</v>
      </c>
      <c r="J9" s="15" t="s">
        <v>161</v>
      </c>
      <c r="K9" s="15" t="s">
        <v>162</v>
      </c>
      <c r="L9" s="15" t="s">
        <v>163</v>
      </c>
      <c r="M9" s="15" t="s">
        <v>164</v>
      </c>
      <c r="N9" s="15" t="s">
        <v>165</v>
      </c>
      <c r="O9" s="15" t="s">
        <v>166</v>
      </c>
      <c r="P9" s="15" t="s">
        <v>167</v>
      </c>
      <c r="Q9" s="15" t="s">
        <v>168</v>
      </c>
      <c r="R9" s="15" t="s">
        <v>43</v>
      </c>
      <c r="S9" s="15" t="s">
        <v>121</v>
      </c>
      <c r="T9" s="15" t="s">
        <v>122</v>
      </c>
      <c r="U9" s="15" t="s">
        <v>169</v>
      </c>
      <c r="V9" s="15" t="s">
        <v>24</v>
      </c>
      <c r="W9" s="15" t="s">
        <v>170</v>
      </c>
      <c r="X9" s="15"/>
    </row>
    <row r="10" customFormat="false" ht="96" hidden="false" customHeight="true" outlineLevel="0" collapsed="false">
      <c r="A10" s="14" t="s">
        <v>171</v>
      </c>
      <c r="B10" s="15" t="s">
        <v>108</v>
      </c>
      <c r="C10" s="15" t="n">
        <v>2020</v>
      </c>
      <c r="D10" s="15" t="s">
        <v>172</v>
      </c>
      <c r="E10" s="16" t="s">
        <v>173</v>
      </c>
      <c r="F10" s="15" t="s">
        <v>56</v>
      </c>
      <c r="G10" s="15" t="s">
        <v>174</v>
      </c>
      <c r="H10" s="15"/>
      <c r="I10" s="15" t="s">
        <v>175</v>
      </c>
      <c r="J10" s="15" t="s">
        <v>161</v>
      </c>
      <c r="K10" s="15"/>
      <c r="L10" s="15" t="s">
        <v>176</v>
      </c>
      <c r="M10" s="15"/>
      <c r="N10" s="15"/>
      <c r="O10" s="15" t="s">
        <v>177</v>
      </c>
      <c r="P10" s="15" t="s">
        <v>178</v>
      </c>
      <c r="Q10" s="15"/>
      <c r="R10" s="15" t="s">
        <v>42</v>
      </c>
      <c r="S10" s="15" t="s">
        <v>121</v>
      </c>
      <c r="T10" s="15" t="s">
        <v>122</v>
      </c>
      <c r="U10" s="15" t="s">
        <v>104</v>
      </c>
      <c r="V10" s="15" t="s">
        <v>25</v>
      </c>
      <c r="W10" s="15" t="s">
        <v>138</v>
      </c>
      <c r="X10" s="15" t="s">
        <v>179</v>
      </c>
    </row>
    <row r="11" customFormat="false" ht="96" hidden="false" customHeight="true" outlineLevel="0" collapsed="false">
      <c r="A11" s="14" t="s">
        <v>180</v>
      </c>
      <c r="B11" s="15" t="s">
        <v>181</v>
      </c>
      <c r="C11" s="15" t="n">
        <v>2020</v>
      </c>
      <c r="D11" s="15" t="s">
        <v>172</v>
      </c>
      <c r="E11" s="16" t="s">
        <v>182</v>
      </c>
      <c r="F11" s="15" t="s">
        <v>48</v>
      </c>
      <c r="G11" s="15" t="s">
        <v>183</v>
      </c>
      <c r="H11" s="15" t="s">
        <v>184</v>
      </c>
      <c r="I11" s="15"/>
      <c r="J11" s="15"/>
      <c r="K11" s="15"/>
      <c r="L11" s="15" t="s">
        <v>185</v>
      </c>
      <c r="M11" s="15"/>
      <c r="N11" s="15"/>
      <c r="O11" s="15" t="s">
        <v>186</v>
      </c>
      <c r="P11" s="15" t="s">
        <v>187</v>
      </c>
      <c r="Q11" s="15"/>
      <c r="R11" s="15" t="s">
        <v>42</v>
      </c>
      <c r="S11" s="15" t="s">
        <v>121</v>
      </c>
      <c r="T11" s="15" t="s">
        <v>188</v>
      </c>
      <c r="U11" s="15" t="s">
        <v>189</v>
      </c>
      <c r="V11" s="15" t="s">
        <v>25</v>
      </c>
      <c r="W11" s="15" t="s">
        <v>138</v>
      </c>
      <c r="X11" s="15" t="s">
        <v>190</v>
      </c>
    </row>
    <row r="12" customFormat="false" ht="96" hidden="false" customHeight="true" outlineLevel="0" collapsed="false">
      <c r="A12" s="14" t="s">
        <v>191</v>
      </c>
      <c r="B12" s="15" t="s">
        <v>192</v>
      </c>
      <c r="C12" s="15" t="n">
        <v>2021</v>
      </c>
      <c r="D12" s="15" t="s">
        <v>193</v>
      </c>
      <c r="E12" s="16" t="s">
        <v>194</v>
      </c>
      <c r="F12" s="15" t="s">
        <v>56</v>
      </c>
      <c r="G12" s="15" t="s">
        <v>195</v>
      </c>
      <c r="H12" s="15"/>
      <c r="I12" s="15" t="s">
        <v>196</v>
      </c>
      <c r="J12" s="15" t="s">
        <v>197</v>
      </c>
      <c r="K12" s="15"/>
      <c r="L12" s="15" t="s">
        <v>198</v>
      </c>
      <c r="M12" s="15"/>
      <c r="N12" s="15" t="s">
        <v>199</v>
      </c>
      <c r="O12" s="15" t="s">
        <v>200</v>
      </c>
      <c r="P12" s="15" t="s">
        <v>201</v>
      </c>
      <c r="Q12" s="15" t="s">
        <v>202</v>
      </c>
      <c r="R12" s="15" t="s">
        <v>33</v>
      </c>
      <c r="S12" s="15" t="s">
        <v>203</v>
      </c>
      <c r="T12" s="15" t="s">
        <v>122</v>
      </c>
      <c r="U12" s="15" t="s">
        <v>104</v>
      </c>
      <c r="V12" s="15" t="s">
        <v>24</v>
      </c>
      <c r="W12" s="15" t="s">
        <v>204</v>
      </c>
      <c r="X12" s="15"/>
    </row>
    <row r="13" customFormat="false" ht="96" hidden="false" customHeight="true" outlineLevel="0" collapsed="false">
      <c r="A13" s="14" t="s">
        <v>205</v>
      </c>
      <c r="B13" s="15" t="s">
        <v>206</v>
      </c>
      <c r="C13" s="15" t="n">
        <v>2021</v>
      </c>
      <c r="D13" s="15" t="s">
        <v>207</v>
      </c>
      <c r="E13" s="16" t="s">
        <v>208</v>
      </c>
      <c r="F13" s="15" t="s">
        <v>56</v>
      </c>
      <c r="G13" s="15" t="s">
        <v>195</v>
      </c>
      <c r="H13" s="15"/>
      <c r="I13" s="15" t="s">
        <v>196</v>
      </c>
      <c r="J13" s="15"/>
      <c r="K13" s="15"/>
      <c r="L13" s="15" t="s">
        <v>198</v>
      </c>
      <c r="M13" s="15"/>
      <c r="N13" s="15" t="s">
        <v>209</v>
      </c>
      <c r="O13" s="15" t="s">
        <v>210</v>
      </c>
      <c r="P13" s="15" t="s">
        <v>211</v>
      </c>
      <c r="Q13" s="15" t="s">
        <v>212</v>
      </c>
      <c r="R13" s="15" t="s">
        <v>33</v>
      </c>
      <c r="S13" s="15" t="s">
        <v>203</v>
      </c>
      <c r="T13" s="15" t="s">
        <v>122</v>
      </c>
      <c r="U13" s="15" t="s">
        <v>104</v>
      </c>
      <c r="V13" s="15" t="s">
        <v>25</v>
      </c>
      <c r="W13" s="15" t="s">
        <v>204</v>
      </c>
      <c r="X13" s="15" t="s">
        <v>213</v>
      </c>
    </row>
    <row r="14" customFormat="false" ht="96" hidden="false" customHeight="true" outlineLevel="0" collapsed="false">
      <c r="A14" s="14" t="s">
        <v>214</v>
      </c>
      <c r="B14" s="15" t="s">
        <v>215</v>
      </c>
      <c r="C14" s="15" t="n">
        <v>2022</v>
      </c>
      <c r="D14" s="15" t="s">
        <v>216</v>
      </c>
      <c r="E14" s="16" t="s">
        <v>217</v>
      </c>
      <c r="F14" s="15" t="s">
        <v>57</v>
      </c>
      <c r="G14" s="15" t="s">
        <v>218</v>
      </c>
      <c r="H14" s="15" t="s">
        <v>219</v>
      </c>
      <c r="I14" s="15"/>
      <c r="J14" s="15"/>
      <c r="K14" s="15"/>
      <c r="L14" s="15" t="s">
        <v>218</v>
      </c>
      <c r="M14" s="15"/>
      <c r="N14" s="15" t="s">
        <v>220</v>
      </c>
      <c r="O14" s="15" t="s">
        <v>221</v>
      </c>
      <c r="P14" s="15" t="s">
        <v>222</v>
      </c>
      <c r="Q14" s="15" t="s">
        <v>223</v>
      </c>
      <c r="R14" s="15" t="s">
        <v>36</v>
      </c>
      <c r="S14" s="15" t="s">
        <v>121</v>
      </c>
      <c r="T14" s="15" t="s">
        <v>224</v>
      </c>
      <c r="U14" s="15" t="s">
        <v>104</v>
      </c>
      <c r="V14" s="15" t="s">
        <v>24</v>
      </c>
      <c r="W14" s="15" t="s">
        <v>225</v>
      </c>
      <c r="X14" s="15" t="s">
        <v>226</v>
      </c>
    </row>
    <row r="15" customFormat="false" ht="96" hidden="false" customHeight="true" outlineLevel="0" collapsed="false">
      <c r="A15" s="14" t="s">
        <v>227</v>
      </c>
      <c r="B15" s="15" t="s">
        <v>215</v>
      </c>
      <c r="C15" s="15" t="n">
        <v>2022</v>
      </c>
      <c r="D15" s="15" t="s">
        <v>228</v>
      </c>
      <c r="E15" s="16" t="s">
        <v>229</v>
      </c>
      <c r="F15" s="15" t="s">
        <v>48</v>
      </c>
      <c r="G15" s="15" t="s">
        <v>230</v>
      </c>
      <c r="H15" s="15" t="s">
        <v>231</v>
      </c>
      <c r="I15" s="15"/>
      <c r="J15" s="15"/>
      <c r="K15" s="15"/>
      <c r="L15" s="15" t="s">
        <v>185</v>
      </c>
      <c r="M15" s="15"/>
      <c r="N15" s="15"/>
      <c r="O15" s="15" t="s">
        <v>232</v>
      </c>
      <c r="P15" s="15" t="s">
        <v>233</v>
      </c>
      <c r="Q15" s="15" t="s">
        <v>234</v>
      </c>
      <c r="R15" s="15" t="s">
        <v>36</v>
      </c>
      <c r="S15" s="15" t="s">
        <v>121</v>
      </c>
      <c r="T15" s="15" t="s">
        <v>188</v>
      </c>
      <c r="U15" s="15" t="s">
        <v>189</v>
      </c>
      <c r="V15" s="15" t="s">
        <v>25</v>
      </c>
      <c r="W15" s="15" t="s">
        <v>235</v>
      </c>
      <c r="X15" s="15" t="s">
        <v>236</v>
      </c>
    </row>
    <row r="16" customFormat="false" ht="96" hidden="false" customHeight="true" outlineLevel="0" collapsed="false">
      <c r="A16" s="14" t="s">
        <v>237</v>
      </c>
      <c r="B16" s="15" t="s">
        <v>238</v>
      </c>
      <c r="C16" s="15" t="n">
        <v>2022</v>
      </c>
      <c r="D16" s="15" t="s">
        <v>239</v>
      </c>
      <c r="E16" s="16" t="s">
        <v>240</v>
      </c>
      <c r="F16" s="15" t="s">
        <v>56</v>
      </c>
      <c r="G16" s="15" t="s">
        <v>218</v>
      </c>
      <c r="H16" s="15"/>
      <c r="I16" s="15"/>
      <c r="J16" s="15"/>
      <c r="K16" s="15"/>
      <c r="L16" s="15" t="s">
        <v>218</v>
      </c>
      <c r="M16" s="15" t="s">
        <v>241</v>
      </c>
      <c r="N16" s="15" t="s">
        <v>242</v>
      </c>
      <c r="O16" s="15" t="s">
        <v>243</v>
      </c>
      <c r="P16" s="15" t="s">
        <v>244</v>
      </c>
      <c r="Q16" s="15" t="s">
        <v>245</v>
      </c>
      <c r="R16" s="15" t="s">
        <v>38</v>
      </c>
      <c r="S16" s="15" t="s">
        <v>238</v>
      </c>
      <c r="T16" s="15" t="s">
        <v>122</v>
      </c>
      <c r="U16" s="15" t="s">
        <v>104</v>
      </c>
      <c r="V16" s="15" t="s">
        <v>24</v>
      </c>
      <c r="W16" s="15" t="s">
        <v>246</v>
      </c>
      <c r="X16" s="15"/>
    </row>
    <row r="17" customFormat="false" ht="96" hidden="false" customHeight="true" outlineLevel="0" collapsed="false">
      <c r="A17" s="14" t="s">
        <v>247</v>
      </c>
      <c r="B17" s="15" t="s">
        <v>238</v>
      </c>
      <c r="C17" s="15" t="n">
        <v>2022</v>
      </c>
      <c r="D17" s="15" t="s">
        <v>248</v>
      </c>
      <c r="E17" s="16" t="s">
        <v>249</v>
      </c>
      <c r="F17" s="15" t="s">
        <v>48</v>
      </c>
      <c r="G17" s="15" t="s">
        <v>250</v>
      </c>
      <c r="H17" s="15" t="s">
        <v>251</v>
      </c>
      <c r="I17" s="15"/>
      <c r="J17" s="15"/>
      <c r="K17" s="15" t="s">
        <v>252</v>
      </c>
      <c r="L17" s="15" t="s">
        <v>253</v>
      </c>
      <c r="M17" s="15" t="s">
        <v>254</v>
      </c>
      <c r="N17" s="15" t="s">
        <v>255</v>
      </c>
      <c r="O17" s="15" t="s">
        <v>256</v>
      </c>
      <c r="P17" s="15" t="s">
        <v>257</v>
      </c>
      <c r="Q17" s="15" t="s">
        <v>258</v>
      </c>
      <c r="R17" s="15" t="s">
        <v>32</v>
      </c>
      <c r="S17" s="15" t="s">
        <v>238</v>
      </c>
      <c r="T17" s="15" t="s">
        <v>188</v>
      </c>
      <c r="U17" s="15" t="s">
        <v>189</v>
      </c>
      <c r="V17" s="15" t="s">
        <v>24</v>
      </c>
      <c r="W17" s="15" t="s">
        <v>259</v>
      </c>
      <c r="X17" s="15" t="s">
        <v>260</v>
      </c>
    </row>
    <row r="18" customFormat="false" ht="96" hidden="false" customHeight="true" outlineLevel="0" collapsed="false">
      <c r="A18" s="14" t="s">
        <v>261</v>
      </c>
      <c r="B18" s="15" t="s">
        <v>262</v>
      </c>
      <c r="C18" s="15" t="n">
        <v>2022</v>
      </c>
      <c r="D18" s="15" t="s">
        <v>263</v>
      </c>
      <c r="E18" s="16" t="s">
        <v>264</v>
      </c>
      <c r="F18" s="15" t="s">
        <v>48</v>
      </c>
      <c r="G18" s="15" t="s">
        <v>250</v>
      </c>
      <c r="H18" s="15" t="s">
        <v>251</v>
      </c>
      <c r="I18" s="15"/>
      <c r="J18" s="15"/>
      <c r="K18" s="15" t="s">
        <v>265</v>
      </c>
      <c r="L18" s="15" t="s">
        <v>253</v>
      </c>
      <c r="M18" s="15" t="s">
        <v>266</v>
      </c>
      <c r="N18" s="15" t="s">
        <v>267</v>
      </c>
      <c r="O18" s="15" t="s">
        <v>268</v>
      </c>
      <c r="P18" s="15" t="s">
        <v>269</v>
      </c>
      <c r="Q18" s="15"/>
      <c r="R18" s="15" t="s">
        <v>37</v>
      </c>
      <c r="S18" s="15" t="s">
        <v>270</v>
      </c>
      <c r="T18" s="15" t="s">
        <v>188</v>
      </c>
      <c r="U18" s="15" t="s">
        <v>189</v>
      </c>
      <c r="V18" s="15" t="s">
        <v>24</v>
      </c>
      <c r="W18" s="15" t="s">
        <v>271</v>
      </c>
      <c r="X18" s="15" t="s">
        <v>272</v>
      </c>
    </row>
    <row r="19" customFormat="false" ht="96" hidden="false" customHeight="true" outlineLevel="0" collapsed="false">
      <c r="A19" s="14" t="s">
        <v>273</v>
      </c>
      <c r="B19" s="15" t="s">
        <v>274</v>
      </c>
      <c r="C19" s="15" t="n">
        <v>2022</v>
      </c>
      <c r="D19" s="15" t="s">
        <v>228</v>
      </c>
      <c r="E19" s="16" t="s">
        <v>275</v>
      </c>
      <c r="F19" s="15" t="s">
        <v>56</v>
      </c>
      <c r="G19" s="15" t="s">
        <v>174</v>
      </c>
      <c r="H19" s="15"/>
      <c r="I19" s="15" t="s">
        <v>95</v>
      </c>
      <c r="J19" s="15" t="s">
        <v>197</v>
      </c>
      <c r="K19" s="15"/>
      <c r="L19" s="15" t="s">
        <v>176</v>
      </c>
      <c r="M19" s="15" t="s">
        <v>276</v>
      </c>
      <c r="N19" s="15"/>
      <c r="O19" s="15" t="s">
        <v>277</v>
      </c>
      <c r="P19" s="15" t="s">
        <v>278</v>
      </c>
      <c r="Q19" s="15"/>
      <c r="R19" s="15" t="s">
        <v>42</v>
      </c>
      <c r="S19" s="15" t="s">
        <v>279</v>
      </c>
      <c r="T19" s="15" t="s">
        <v>122</v>
      </c>
      <c r="U19" s="15" t="s">
        <v>104</v>
      </c>
      <c r="V19" s="15" t="s">
        <v>25</v>
      </c>
      <c r="W19" s="15" t="s">
        <v>280</v>
      </c>
      <c r="X19" s="15" t="s">
        <v>281</v>
      </c>
    </row>
    <row r="20" customFormat="false" ht="96" hidden="false" customHeight="true" outlineLevel="0" collapsed="false">
      <c r="A20" s="14" t="s">
        <v>282</v>
      </c>
      <c r="B20" s="15" t="s">
        <v>283</v>
      </c>
      <c r="C20" s="15" t="n">
        <v>2023</v>
      </c>
      <c r="D20" s="15" t="s">
        <v>284</v>
      </c>
      <c r="E20" s="16" t="s">
        <v>285</v>
      </c>
      <c r="F20" s="15" t="s">
        <v>46</v>
      </c>
      <c r="G20" s="15"/>
      <c r="H20" s="15" t="s">
        <v>286</v>
      </c>
      <c r="I20" s="15" t="s">
        <v>287</v>
      </c>
      <c r="J20" s="15"/>
      <c r="K20" s="15"/>
      <c r="L20" s="15" t="s">
        <v>288</v>
      </c>
      <c r="M20" s="15" t="s">
        <v>289</v>
      </c>
      <c r="N20" s="15" t="s">
        <v>290</v>
      </c>
      <c r="O20" s="15" t="s">
        <v>291</v>
      </c>
      <c r="P20" s="15" t="s">
        <v>292</v>
      </c>
      <c r="Q20" s="15" t="s">
        <v>293</v>
      </c>
      <c r="R20" s="15" t="s">
        <v>34</v>
      </c>
      <c r="S20" s="15" t="s">
        <v>294</v>
      </c>
      <c r="T20" s="15" t="s">
        <v>295</v>
      </c>
      <c r="U20" s="15" t="s">
        <v>104</v>
      </c>
      <c r="V20" s="15" t="s">
        <v>24</v>
      </c>
      <c r="W20" s="15" t="s">
        <v>296</v>
      </c>
      <c r="X20" s="15" t="s">
        <v>297</v>
      </c>
    </row>
    <row r="21" customFormat="false" ht="96" hidden="false" customHeight="true" outlineLevel="0" collapsed="false">
      <c r="A21" s="14" t="s">
        <v>298</v>
      </c>
      <c r="B21" s="15" t="s">
        <v>299</v>
      </c>
      <c r="C21" s="15" t="n">
        <v>2023</v>
      </c>
      <c r="D21" s="15" t="s">
        <v>300</v>
      </c>
      <c r="E21" s="16" t="s">
        <v>301</v>
      </c>
      <c r="F21" s="15" t="s">
        <v>56</v>
      </c>
      <c r="G21" s="15" t="s">
        <v>302</v>
      </c>
      <c r="H21" s="15"/>
      <c r="I21" s="15" t="s">
        <v>303</v>
      </c>
      <c r="J21" s="15" t="s">
        <v>304</v>
      </c>
      <c r="K21" s="15" t="s">
        <v>305</v>
      </c>
      <c r="L21" s="15" t="s">
        <v>306</v>
      </c>
      <c r="M21" s="15" t="s">
        <v>307</v>
      </c>
      <c r="N21" s="15"/>
      <c r="O21" s="15" t="s">
        <v>308</v>
      </c>
      <c r="P21" s="15" t="s">
        <v>309</v>
      </c>
      <c r="Q21" s="15"/>
      <c r="R21" s="15" t="s">
        <v>43</v>
      </c>
      <c r="S21" s="15" t="s">
        <v>238</v>
      </c>
      <c r="T21" s="15" t="s">
        <v>122</v>
      </c>
      <c r="U21" s="15" t="s">
        <v>189</v>
      </c>
      <c r="V21" s="15" t="s">
        <v>24</v>
      </c>
      <c r="W21" s="15" t="s">
        <v>310</v>
      </c>
      <c r="X21" s="15" t="s">
        <v>311</v>
      </c>
    </row>
    <row r="22" customFormat="false" ht="96" hidden="false" customHeight="true" outlineLevel="0" collapsed="false">
      <c r="A22" s="14" t="s">
        <v>312</v>
      </c>
      <c r="B22" s="15" t="s">
        <v>313</v>
      </c>
      <c r="C22" s="15" t="n">
        <v>2023</v>
      </c>
      <c r="D22" s="15" t="s">
        <v>314</v>
      </c>
      <c r="E22" s="16" t="s">
        <v>315</v>
      </c>
      <c r="F22" s="15" t="s">
        <v>48</v>
      </c>
      <c r="G22" s="15" t="s">
        <v>316</v>
      </c>
      <c r="H22" s="15"/>
      <c r="I22" s="15"/>
      <c r="J22" s="15"/>
      <c r="K22" s="15" t="s">
        <v>317</v>
      </c>
      <c r="L22" s="15" t="s">
        <v>318</v>
      </c>
      <c r="M22" s="15" t="s">
        <v>319</v>
      </c>
      <c r="N22" s="15"/>
      <c r="O22" s="15" t="s">
        <v>320</v>
      </c>
      <c r="P22" s="15" t="s">
        <v>321</v>
      </c>
      <c r="Q22" s="15"/>
      <c r="R22" s="15" t="s">
        <v>42</v>
      </c>
      <c r="S22" s="15" t="s">
        <v>270</v>
      </c>
      <c r="T22" s="15" t="s">
        <v>188</v>
      </c>
      <c r="U22" s="15" t="s">
        <v>189</v>
      </c>
      <c r="V22" s="15" t="s">
        <v>24</v>
      </c>
      <c r="W22" s="15" t="s">
        <v>322</v>
      </c>
      <c r="X22" s="15" t="s">
        <v>323</v>
      </c>
    </row>
    <row r="23" customFormat="false" ht="96" hidden="false" customHeight="true" outlineLevel="0" collapsed="false">
      <c r="A23" s="14" t="s">
        <v>324</v>
      </c>
      <c r="B23" s="15" t="s">
        <v>121</v>
      </c>
      <c r="C23" s="15" t="n">
        <v>2024</v>
      </c>
      <c r="D23" s="15" t="s">
        <v>325</v>
      </c>
      <c r="E23" s="16" t="s">
        <v>326</v>
      </c>
      <c r="F23" s="15" t="s">
        <v>51</v>
      </c>
      <c r="G23" s="15" t="s">
        <v>327</v>
      </c>
      <c r="H23" s="15"/>
      <c r="I23" s="15"/>
      <c r="J23" s="15"/>
      <c r="K23" s="15"/>
      <c r="L23" s="15" t="s">
        <v>328</v>
      </c>
      <c r="M23" s="15"/>
      <c r="N23" s="15" t="s">
        <v>329</v>
      </c>
      <c r="O23" s="15" t="s">
        <v>330</v>
      </c>
      <c r="P23" s="15" t="s">
        <v>331</v>
      </c>
      <c r="Q23" s="15" t="s">
        <v>332</v>
      </c>
      <c r="R23" s="15" t="s">
        <v>37</v>
      </c>
      <c r="S23" s="15" t="s">
        <v>121</v>
      </c>
      <c r="T23" s="15" t="s">
        <v>333</v>
      </c>
      <c r="U23" s="15" t="s">
        <v>334</v>
      </c>
      <c r="V23" s="15" t="s">
        <v>24</v>
      </c>
      <c r="W23" s="15" t="s">
        <v>335</v>
      </c>
      <c r="X23" s="15"/>
    </row>
    <row r="24" customFormat="false" ht="96" hidden="false" customHeight="true" outlineLevel="0" collapsed="false">
      <c r="A24" s="14" t="s">
        <v>336</v>
      </c>
      <c r="B24" s="15" t="s">
        <v>121</v>
      </c>
      <c r="C24" s="15" t="n">
        <v>2024</v>
      </c>
      <c r="D24" s="15" t="s">
        <v>337</v>
      </c>
      <c r="E24" s="16" t="s">
        <v>338</v>
      </c>
      <c r="F24" s="15" t="s">
        <v>59</v>
      </c>
      <c r="G24" s="15" t="s">
        <v>339</v>
      </c>
      <c r="H24" s="15"/>
      <c r="I24" s="15"/>
      <c r="J24" s="15"/>
      <c r="K24" s="15"/>
      <c r="L24" s="15" t="s">
        <v>340</v>
      </c>
      <c r="M24" s="15"/>
      <c r="N24" s="15"/>
      <c r="O24" s="15" t="s">
        <v>341</v>
      </c>
      <c r="P24" s="15" t="s">
        <v>342</v>
      </c>
      <c r="Q24" s="15"/>
      <c r="R24" s="15" t="s">
        <v>37</v>
      </c>
      <c r="S24" s="15" t="s">
        <v>121</v>
      </c>
      <c r="T24" s="15" t="s">
        <v>343</v>
      </c>
      <c r="U24" s="15" t="s">
        <v>344</v>
      </c>
      <c r="V24" s="15" t="s">
        <v>25</v>
      </c>
      <c r="W24" s="15" t="s">
        <v>345</v>
      </c>
      <c r="X24" s="15" t="s">
        <v>346</v>
      </c>
    </row>
    <row r="25" customFormat="false" ht="96" hidden="false" customHeight="true" outlineLevel="0" collapsed="false">
      <c r="A25" s="14" t="s">
        <v>347</v>
      </c>
      <c r="B25" s="15" t="s">
        <v>348</v>
      </c>
      <c r="C25" s="15" t="n">
        <v>2024</v>
      </c>
      <c r="D25" s="15" t="s">
        <v>325</v>
      </c>
      <c r="E25" s="16" t="s">
        <v>349</v>
      </c>
      <c r="F25" s="15" t="s">
        <v>63</v>
      </c>
      <c r="G25" s="15" t="s">
        <v>327</v>
      </c>
      <c r="H25" s="15"/>
      <c r="I25" s="15"/>
      <c r="J25" s="15"/>
      <c r="K25" s="15"/>
      <c r="L25" s="15" t="s">
        <v>328</v>
      </c>
      <c r="M25" s="15"/>
      <c r="N25" s="15" t="s">
        <v>350</v>
      </c>
      <c r="O25" s="15" t="s">
        <v>351</v>
      </c>
      <c r="P25" s="15" t="s">
        <v>352</v>
      </c>
      <c r="Q25" s="15"/>
      <c r="R25" s="15" t="s">
        <v>39</v>
      </c>
      <c r="S25" s="15" t="s">
        <v>348</v>
      </c>
      <c r="T25" s="15" t="s">
        <v>333</v>
      </c>
      <c r="U25" s="15" t="s">
        <v>334</v>
      </c>
      <c r="V25" s="15" t="s">
        <v>24</v>
      </c>
      <c r="W25" s="15" t="s">
        <v>335</v>
      </c>
      <c r="X25" s="15" t="s">
        <v>353</v>
      </c>
    </row>
    <row r="26" customFormat="false" ht="96" hidden="false" customHeight="true" outlineLevel="0" collapsed="false">
      <c r="A26" s="14" t="s">
        <v>354</v>
      </c>
      <c r="B26" s="15" t="s">
        <v>355</v>
      </c>
      <c r="C26" s="15" t="n">
        <v>2024</v>
      </c>
      <c r="D26" s="15" t="s">
        <v>356</v>
      </c>
      <c r="E26" s="16" t="s">
        <v>357</v>
      </c>
      <c r="F26" s="15" t="s">
        <v>51</v>
      </c>
      <c r="G26" s="15" t="s">
        <v>358</v>
      </c>
      <c r="H26" s="15"/>
      <c r="I26" s="15"/>
      <c r="J26" s="15"/>
      <c r="K26" s="15"/>
      <c r="L26" s="15" t="s">
        <v>359</v>
      </c>
      <c r="M26" s="15"/>
      <c r="N26" s="15" t="s">
        <v>360</v>
      </c>
      <c r="O26" s="15" t="s">
        <v>361</v>
      </c>
      <c r="P26" s="15" t="s">
        <v>362</v>
      </c>
      <c r="Q26" s="15" t="s">
        <v>363</v>
      </c>
      <c r="R26" s="15" t="s">
        <v>38</v>
      </c>
      <c r="S26" s="15" t="s">
        <v>355</v>
      </c>
      <c r="T26" s="15" t="s">
        <v>137</v>
      </c>
      <c r="U26" s="15" t="s">
        <v>364</v>
      </c>
      <c r="V26" s="15" t="s">
        <v>24</v>
      </c>
      <c r="W26" s="15" t="s">
        <v>365</v>
      </c>
      <c r="X26" s="15" t="s">
        <v>366</v>
      </c>
    </row>
    <row r="27" customFormat="false" ht="96" hidden="false" customHeight="true" outlineLevel="0" collapsed="false">
      <c r="A27" s="14" t="s">
        <v>367</v>
      </c>
      <c r="B27" s="15" t="s">
        <v>368</v>
      </c>
      <c r="C27" s="15" t="n">
        <v>2024</v>
      </c>
      <c r="D27" s="15" t="s">
        <v>369</v>
      </c>
      <c r="E27" s="16" t="s">
        <v>370</v>
      </c>
      <c r="F27" s="15" t="s">
        <v>56</v>
      </c>
      <c r="G27" s="15" t="s">
        <v>195</v>
      </c>
      <c r="H27" s="15"/>
      <c r="I27" s="15" t="s">
        <v>95</v>
      </c>
      <c r="J27" s="15" t="s">
        <v>161</v>
      </c>
      <c r="K27" s="15"/>
      <c r="L27" s="15" t="s">
        <v>198</v>
      </c>
      <c r="M27" s="15" t="s">
        <v>371</v>
      </c>
      <c r="N27" s="15" t="s">
        <v>372</v>
      </c>
      <c r="O27" s="15" t="s">
        <v>373</v>
      </c>
      <c r="P27" s="15" t="s">
        <v>374</v>
      </c>
      <c r="Q27" s="15" t="s">
        <v>375</v>
      </c>
      <c r="R27" s="15" t="s">
        <v>33</v>
      </c>
      <c r="S27" s="15" t="s">
        <v>203</v>
      </c>
      <c r="T27" s="15" t="s">
        <v>122</v>
      </c>
      <c r="U27" s="15" t="s">
        <v>104</v>
      </c>
      <c r="V27" s="15" t="s">
        <v>24</v>
      </c>
      <c r="W27" s="15" t="s">
        <v>204</v>
      </c>
      <c r="X27" s="15"/>
    </row>
    <row r="28" customFormat="false" ht="96" hidden="false" customHeight="true" outlineLevel="0" collapsed="false">
      <c r="A28" s="14" t="s">
        <v>376</v>
      </c>
      <c r="B28" s="15" t="s">
        <v>238</v>
      </c>
      <c r="C28" s="15" t="n">
        <v>2024</v>
      </c>
      <c r="D28" s="15" t="s">
        <v>377</v>
      </c>
      <c r="E28" s="16" t="s">
        <v>378</v>
      </c>
      <c r="F28" s="15" t="s">
        <v>49</v>
      </c>
      <c r="G28" s="15" t="s">
        <v>379</v>
      </c>
      <c r="H28" s="15" t="s">
        <v>380</v>
      </c>
      <c r="I28" s="15" t="s">
        <v>381</v>
      </c>
      <c r="J28" s="15" t="s">
        <v>197</v>
      </c>
      <c r="K28" s="15" t="s">
        <v>382</v>
      </c>
      <c r="L28" s="15" t="s">
        <v>383</v>
      </c>
      <c r="M28" s="15"/>
      <c r="N28" s="15" t="s">
        <v>384</v>
      </c>
      <c r="O28" s="15" t="s">
        <v>385</v>
      </c>
      <c r="P28" s="15" t="s">
        <v>386</v>
      </c>
      <c r="Q28" s="15"/>
      <c r="R28" s="15" t="s">
        <v>32</v>
      </c>
      <c r="S28" s="15" t="s">
        <v>238</v>
      </c>
      <c r="T28" s="15" t="s">
        <v>387</v>
      </c>
      <c r="U28" s="15" t="s">
        <v>388</v>
      </c>
      <c r="V28" s="15" t="s">
        <v>24</v>
      </c>
      <c r="W28" s="15" t="s">
        <v>389</v>
      </c>
      <c r="X28" s="15" t="s">
        <v>390</v>
      </c>
    </row>
    <row r="29" customFormat="false" ht="96" hidden="false" customHeight="true" outlineLevel="0" collapsed="false">
      <c r="A29" s="14" t="s">
        <v>391</v>
      </c>
      <c r="B29" s="15" t="s">
        <v>238</v>
      </c>
      <c r="C29" s="15" t="n">
        <v>2025</v>
      </c>
      <c r="D29" s="15" t="s">
        <v>392</v>
      </c>
      <c r="E29" s="16" t="s">
        <v>393</v>
      </c>
      <c r="F29" s="15" t="s">
        <v>56</v>
      </c>
      <c r="G29" s="15" t="s">
        <v>394</v>
      </c>
      <c r="H29" s="15" t="s">
        <v>395</v>
      </c>
      <c r="I29" s="15" t="s">
        <v>396</v>
      </c>
      <c r="J29" s="15" t="s">
        <v>397</v>
      </c>
      <c r="K29" s="15" t="s">
        <v>398</v>
      </c>
      <c r="L29" s="15" t="s">
        <v>318</v>
      </c>
      <c r="M29" s="15" t="s">
        <v>399</v>
      </c>
      <c r="N29" s="15" t="s">
        <v>400</v>
      </c>
      <c r="O29" s="15" t="s">
        <v>401</v>
      </c>
      <c r="P29" s="15" t="s">
        <v>402</v>
      </c>
      <c r="Q29" s="15"/>
      <c r="R29" s="15" t="s">
        <v>39</v>
      </c>
      <c r="S29" s="15" t="s">
        <v>238</v>
      </c>
      <c r="T29" s="15" t="s">
        <v>122</v>
      </c>
      <c r="U29" s="15" t="s">
        <v>189</v>
      </c>
      <c r="V29" s="15" t="s">
        <v>24</v>
      </c>
      <c r="W29" s="15" t="s">
        <v>403</v>
      </c>
      <c r="X29" s="15" t="s">
        <v>404</v>
      </c>
    </row>
    <row r="30" customFormat="false" ht="96" hidden="false" customHeight="true" outlineLevel="0" collapsed="false">
      <c r="A30" s="14" t="s">
        <v>405</v>
      </c>
      <c r="B30" s="15" t="s">
        <v>406</v>
      </c>
      <c r="C30" s="15" t="n">
        <v>2025</v>
      </c>
      <c r="D30" s="15" t="s">
        <v>407</v>
      </c>
      <c r="E30" s="16" t="s">
        <v>408</v>
      </c>
      <c r="F30" s="15" t="s">
        <v>56</v>
      </c>
      <c r="G30" s="15" t="s">
        <v>394</v>
      </c>
      <c r="H30" s="15" t="s">
        <v>395</v>
      </c>
      <c r="I30" s="15" t="s">
        <v>396</v>
      </c>
      <c r="J30" s="15" t="s">
        <v>397</v>
      </c>
      <c r="K30" s="15" t="s">
        <v>409</v>
      </c>
      <c r="L30" s="15" t="s">
        <v>318</v>
      </c>
      <c r="M30" s="15" t="s">
        <v>410</v>
      </c>
      <c r="N30" s="15" t="s">
        <v>411</v>
      </c>
      <c r="O30" s="15" t="s">
        <v>412</v>
      </c>
      <c r="P30" s="15" t="s">
        <v>413</v>
      </c>
      <c r="Q30" s="15" t="s">
        <v>414</v>
      </c>
      <c r="R30" s="15" t="s">
        <v>40</v>
      </c>
      <c r="S30" s="15" t="s">
        <v>415</v>
      </c>
      <c r="T30" s="15" t="s">
        <v>122</v>
      </c>
      <c r="U30" s="15" t="s">
        <v>189</v>
      </c>
      <c r="V30" s="15" t="s">
        <v>24</v>
      </c>
      <c r="W30" s="15" t="s">
        <v>416</v>
      </c>
      <c r="X30" s="15"/>
    </row>
    <row r="31" customFormat="false" ht="96" hidden="false" customHeight="true" outlineLevel="0" collapsed="false">
      <c r="A31" s="14" t="s">
        <v>417</v>
      </c>
      <c r="B31" s="15" t="s">
        <v>418</v>
      </c>
      <c r="C31" s="15" t="n">
        <v>2025</v>
      </c>
      <c r="D31" s="15" t="s">
        <v>419</v>
      </c>
      <c r="E31" s="16" t="s">
        <v>420</v>
      </c>
      <c r="F31" s="15" t="s">
        <v>56</v>
      </c>
      <c r="G31" s="15" t="s">
        <v>394</v>
      </c>
      <c r="H31" s="15" t="s">
        <v>395</v>
      </c>
      <c r="I31" s="15" t="s">
        <v>396</v>
      </c>
      <c r="J31" s="15" t="s">
        <v>397</v>
      </c>
      <c r="K31" s="15" t="s">
        <v>421</v>
      </c>
      <c r="L31" s="15" t="s">
        <v>318</v>
      </c>
      <c r="M31" s="15" t="s">
        <v>422</v>
      </c>
      <c r="N31" s="15" t="s">
        <v>423</v>
      </c>
      <c r="O31" s="15" t="s">
        <v>424</v>
      </c>
      <c r="P31" s="15" t="s">
        <v>425</v>
      </c>
      <c r="Q31" s="15" t="s">
        <v>426</v>
      </c>
      <c r="R31" s="15" t="s">
        <v>36</v>
      </c>
      <c r="S31" s="15" t="s">
        <v>427</v>
      </c>
      <c r="T31" s="15" t="s">
        <v>122</v>
      </c>
      <c r="U31" s="15" t="s">
        <v>189</v>
      </c>
      <c r="V31" s="15" t="s">
        <v>24</v>
      </c>
      <c r="W31" s="15" t="s">
        <v>428</v>
      </c>
      <c r="X31" s="15" t="s">
        <v>429</v>
      </c>
    </row>
    <row r="32" customFormat="false" ht="96" hidden="false" customHeight="true" outlineLevel="0" collapsed="false">
      <c r="A32" s="14" t="s">
        <v>430</v>
      </c>
      <c r="B32" s="15" t="s">
        <v>431</v>
      </c>
      <c r="C32" s="15" t="n">
        <v>2025</v>
      </c>
      <c r="D32" s="15" t="s">
        <v>432</v>
      </c>
      <c r="E32" s="16" t="s">
        <v>433</v>
      </c>
      <c r="F32" s="15" t="s">
        <v>56</v>
      </c>
      <c r="G32" s="15" t="s">
        <v>394</v>
      </c>
      <c r="H32" s="15" t="s">
        <v>395</v>
      </c>
      <c r="I32" s="15" t="s">
        <v>396</v>
      </c>
      <c r="J32" s="15" t="s">
        <v>397</v>
      </c>
      <c r="K32" s="15" t="s">
        <v>421</v>
      </c>
      <c r="L32" s="15" t="s">
        <v>318</v>
      </c>
      <c r="M32" s="15" t="s">
        <v>434</v>
      </c>
      <c r="N32" s="15" t="s">
        <v>435</v>
      </c>
      <c r="O32" s="15" t="s">
        <v>436</v>
      </c>
      <c r="P32" s="15" t="s">
        <v>437</v>
      </c>
      <c r="Q32" s="15" t="s">
        <v>438</v>
      </c>
      <c r="R32" s="15" t="s">
        <v>32</v>
      </c>
      <c r="S32" s="15" t="s">
        <v>439</v>
      </c>
      <c r="T32" s="15" t="s">
        <v>122</v>
      </c>
      <c r="U32" s="15" t="s">
        <v>189</v>
      </c>
      <c r="V32" s="15" t="s">
        <v>24</v>
      </c>
      <c r="W32" s="15" t="s">
        <v>416</v>
      </c>
      <c r="X32" s="15" t="s">
        <v>440</v>
      </c>
    </row>
    <row r="33" customFormat="false" ht="96" hidden="false" customHeight="true" outlineLevel="0" collapsed="false">
      <c r="A33" s="14" t="s">
        <v>441</v>
      </c>
      <c r="B33" s="15" t="s">
        <v>442</v>
      </c>
      <c r="C33" s="15" t="n">
        <v>2025</v>
      </c>
      <c r="D33" s="15" t="s">
        <v>443</v>
      </c>
      <c r="E33" s="16" t="s">
        <v>444</v>
      </c>
      <c r="F33" s="15" t="s">
        <v>56</v>
      </c>
      <c r="G33" s="15" t="s">
        <v>394</v>
      </c>
      <c r="H33" s="15" t="s">
        <v>395</v>
      </c>
      <c r="I33" s="15" t="s">
        <v>396</v>
      </c>
      <c r="J33" s="15" t="s">
        <v>397</v>
      </c>
      <c r="K33" s="15" t="s">
        <v>421</v>
      </c>
      <c r="L33" s="15" t="s">
        <v>318</v>
      </c>
      <c r="M33" s="15" t="s">
        <v>445</v>
      </c>
      <c r="N33" s="15" t="s">
        <v>446</v>
      </c>
      <c r="O33" s="15" t="s">
        <v>447</v>
      </c>
      <c r="P33" s="15" t="s">
        <v>448</v>
      </c>
      <c r="Q33" s="15" t="s">
        <v>449</v>
      </c>
      <c r="R33" s="15" t="s">
        <v>40</v>
      </c>
      <c r="S33" s="15" t="s">
        <v>439</v>
      </c>
      <c r="T33" s="15" t="s">
        <v>122</v>
      </c>
      <c r="U33" s="15" t="s">
        <v>189</v>
      </c>
      <c r="V33" s="15" t="s">
        <v>24</v>
      </c>
      <c r="W33" s="15" t="s">
        <v>450</v>
      </c>
      <c r="X33" s="15"/>
    </row>
    <row r="34" customFormat="false" ht="96" hidden="false" customHeight="true" outlineLevel="0" collapsed="false">
      <c r="A34" s="14" t="s">
        <v>451</v>
      </c>
      <c r="B34" s="15" t="s">
        <v>452</v>
      </c>
      <c r="C34" s="15" t="n">
        <v>2025</v>
      </c>
      <c r="D34" s="15" t="s">
        <v>407</v>
      </c>
      <c r="E34" s="16" t="s">
        <v>453</v>
      </c>
      <c r="F34" s="15" t="s">
        <v>56</v>
      </c>
      <c r="G34" s="15" t="s">
        <v>394</v>
      </c>
      <c r="H34" s="15" t="s">
        <v>395</v>
      </c>
      <c r="I34" s="15" t="s">
        <v>396</v>
      </c>
      <c r="J34" s="15" t="s">
        <v>397</v>
      </c>
      <c r="K34" s="15" t="s">
        <v>454</v>
      </c>
      <c r="L34" s="15" t="s">
        <v>318</v>
      </c>
      <c r="M34" s="15" t="s">
        <v>455</v>
      </c>
      <c r="N34" s="15" t="s">
        <v>456</v>
      </c>
      <c r="O34" s="15" t="s">
        <v>457</v>
      </c>
      <c r="P34" s="15" t="s">
        <v>458</v>
      </c>
      <c r="Q34" s="15"/>
      <c r="R34" s="15" t="s">
        <v>37</v>
      </c>
      <c r="S34" s="15" t="s">
        <v>439</v>
      </c>
      <c r="T34" s="15" t="s">
        <v>122</v>
      </c>
      <c r="U34" s="15" t="s">
        <v>189</v>
      </c>
      <c r="V34" s="15" t="s">
        <v>24</v>
      </c>
      <c r="W34" s="15" t="s">
        <v>403</v>
      </c>
      <c r="X34" s="15"/>
    </row>
    <row r="35" customFormat="false" ht="96" hidden="false" customHeight="true" outlineLevel="0" collapsed="false">
      <c r="A35" s="14" t="s">
        <v>459</v>
      </c>
      <c r="B35" s="15" t="s">
        <v>460</v>
      </c>
      <c r="C35" s="15" t="n">
        <v>2025</v>
      </c>
      <c r="D35" s="15" t="s">
        <v>461</v>
      </c>
      <c r="E35" s="16" t="s">
        <v>462</v>
      </c>
      <c r="F35" s="15" t="s">
        <v>56</v>
      </c>
      <c r="G35" s="15" t="s">
        <v>463</v>
      </c>
      <c r="H35" s="15"/>
      <c r="I35" s="15" t="s">
        <v>464</v>
      </c>
      <c r="J35" s="15" t="s">
        <v>113</v>
      </c>
      <c r="K35" s="15" t="s">
        <v>465</v>
      </c>
      <c r="L35" s="15" t="s">
        <v>466</v>
      </c>
      <c r="M35" s="15"/>
      <c r="N35" s="15" t="s">
        <v>467</v>
      </c>
      <c r="O35" s="15" t="s">
        <v>468</v>
      </c>
      <c r="P35" s="15" t="s">
        <v>469</v>
      </c>
      <c r="Q35" s="15"/>
      <c r="R35" s="15" t="s">
        <v>41</v>
      </c>
      <c r="S35" s="15" t="s">
        <v>470</v>
      </c>
      <c r="T35" s="15" t="s">
        <v>471</v>
      </c>
      <c r="U35" s="15" t="s">
        <v>104</v>
      </c>
      <c r="V35" s="15" t="s">
        <v>24</v>
      </c>
      <c r="W35" s="15" t="s">
        <v>472</v>
      </c>
      <c r="X35" s="15"/>
    </row>
    <row r="36" customFormat="false" ht="96" hidden="false" customHeight="true" outlineLevel="0" collapsed="false">
      <c r="A36" s="14" t="s">
        <v>473</v>
      </c>
      <c r="B36" s="15" t="s">
        <v>474</v>
      </c>
      <c r="C36" s="15" t="n">
        <v>2025</v>
      </c>
      <c r="D36" s="15" t="s">
        <v>475</v>
      </c>
      <c r="E36" s="16" t="s">
        <v>476</v>
      </c>
      <c r="F36" s="15" t="s">
        <v>47</v>
      </c>
      <c r="G36" s="15" t="s">
        <v>477</v>
      </c>
      <c r="H36" s="15"/>
      <c r="I36" s="15"/>
      <c r="J36" s="15"/>
      <c r="K36" s="15"/>
      <c r="L36" s="15" t="s">
        <v>478</v>
      </c>
      <c r="M36" s="15"/>
      <c r="N36" s="15" t="s">
        <v>479</v>
      </c>
      <c r="O36" s="15" t="s">
        <v>480</v>
      </c>
      <c r="P36" s="15" t="s">
        <v>481</v>
      </c>
      <c r="Q36" s="15"/>
      <c r="R36" s="15" t="s">
        <v>42</v>
      </c>
      <c r="S36" s="15" t="s">
        <v>482</v>
      </c>
      <c r="T36" s="15" t="s">
        <v>137</v>
      </c>
      <c r="U36" s="15" t="s">
        <v>364</v>
      </c>
      <c r="V36" s="15" t="s">
        <v>24</v>
      </c>
      <c r="W36" s="15" t="s">
        <v>483</v>
      </c>
      <c r="X36" s="15" t="s">
        <v>484</v>
      </c>
    </row>
    <row r="37" customFormat="false" ht="96" hidden="false" customHeight="true" outlineLevel="0" collapsed="false">
      <c r="A37" s="14" t="s">
        <v>485</v>
      </c>
      <c r="B37" s="15" t="s">
        <v>486</v>
      </c>
      <c r="C37" s="15" t="n">
        <v>2025</v>
      </c>
      <c r="D37" s="15" t="s">
        <v>487</v>
      </c>
      <c r="E37" s="16" t="s">
        <v>488</v>
      </c>
      <c r="F37" s="15" t="s">
        <v>54</v>
      </c>
      <c r="G37" s="15" t="s">
        <v>489</v>
      </c>
      <c r="H37" s="15"/>
      <c r="I37" s="15"/>
      <c r="J37" s="15"/>
      <c r="K37" s="15"/>
      <c r="L37" s="15" t="s">
        <v>490</v>
      </c>
      <c r="M37" s="15"/>
      <c r="N37" s="15" t="s">
        <v>491</v>
      </c>
      <c r="O37" s="15" t="s">
        <v>492</v>
      </c>
      <c r="P37" s="15" t="s">
        <v>493</v>
      </c>
      <c r="Q37" s="15"/>
      <c r="R37" s="15" t="s">
        <v>43</v>
      </c>
      <c r="S37" s="15" t="s">
        <v>494</v>
      </c>
      <c r="T37" s="15" t="s">
        <v>495</v>
      </c>
      <c r="U37" s="15" t="s">
        <v>104</v>
      </c>
      <c r="V37" s="15" t="s">
        <v>24</v>
      </c>
      <c r="W37" s="15" t="s">
        <v>496</v>
      </c>
      <c r="X37" s="15" t="s">
        <v>497</v>
      </c>
    </row>
    <row r="38" customFormat="false" ht="96" hidden="false" customHeight="true" outlineLevel="0" collapsed="false">
      <c r="A38" s="14" t="s">
        <v>498</v>
      </c>
      <c r="B38" s="15" t="s">
        <v>499</v>
      </c>
      <c r="C38" s="15" t="n">
        <v>2025</v>
      </c>
      <c r="D38" s="15" t="s">
        <v>500</v>
      </c>
      <c r="E38" s="16" t="s">
        <v>501</v>
      </c>
      <c r="F38" s="15" t="s">
        <v>51</v>
      </c>
      <c r="G38" s="15" t="s">
        <v>502</v>
      </c>
      <c r="H38" s="15"/>
      <c r="I38" s="15"/>
      <c r="J38" s="15"/>
      <c r="K38" s="15"/>
      <c r="L38" s="15" t="s">
        <v>503</v>
      </c>
      <c r="M38" s="15"/>
      <c r="N38" s="15" t="s">
        <v>504</v>
      </c>
      <c r="O38" s="15" t="s">
        <v>505</v>
      </c>
      <c r="P38" s="15" t="s">
        <v>506</v>
      </c>
      <c r="Q38" s="15"/>
      <c r="R38" s="15" t="s">
        <v>36</v>
      </c>
      <c r="S38" s="15" t="s">
        <v>507</v>
      </c>
      <c r="T38" s="15" t="s">
        <v>333</v>
      </c>
      <c r="U38" s="15" t="s">
        <v>344</v>
      </c>
      <c r="V38" s="15" t="s">
        <v>25</v>
      </c>
      <c r="W38" s="15" t="s">
        <v>508</v>
      </c>
      <c r="X38" s="15" t="s">
        <v>509</v>
      </c>
    </row>
    <row r="39" customFormat="false" ht="96" hidden="false" customHeight="true" outlineLevel="0" collapsed="false">
      <c r="A39" s="14" t="s">
        <v>510</v>
      </c>
      <c r="B39" s="15" t="s">
        <v>511</v>
      </c>
      <c r="C39" s="15" t="n">
        <v>2026</v>
      </c>
      <c r="D39" s="15" t="s">
        <v>512</v>
      </c>
      <c r="E39" s="16" t="s">
        <v>513</v>
      </c>
      <c r="F39" s="15" t="s">
        <v>46</v>
      </c>
      <c r="G39" s="15"/>
      <c r="H39" s="15" t="s">
        <v>514</v>
      </c>
      <c r="I39" s="15" t="s">
        <v>197</v>
      </c>
      <c r="J39" s="15"/>
      <c r="K39" s="15"/>
      <c r="L39" s="15" t="s">
        <v>515</v>
      </c>
      <c r="M39" s="15"/>
      <c r="N39" s="15" t="s">
        <v>516</v>
      </c>
      <c r="O39" s="15" t="s">
        <v>517</v>
      </c>
      <c r="P39" s="15" t="s">
        <v>518</v>
      </c>
      <c r="Q39" s="15" t="s">
        <v>519</v>
      </c>
      <c r="R39" s="15" t="s">
        <v>34</v>
      </c>
      <c r="S39" s="15" t="s">
        <v>520</v>
      </c>
      <c r="T39" s="15" t="s">
        <v>295</v>
      </c>
      <c r="U39" s="15" t="s">
        <v>104</v>
      </c>
      <c r="V39" s="15" t="s">
        <v>24</v>
      </c>
      <c r="W39" s="15" t="s">
        <v>521</v>
      </c>
      <c r="X39" s="15" t="s">
        <v>522</v>
      </c>
    </row>
    <row r="40" customFormat="false" ht="96" hidden="false" customHeight="true" outlineLevel="0" collapsed="false">
      <c r="A40" s="14" t="s">
        <v>523</v>
      </c>
      <c r="B40" s="15" t="s">
        <v>524</v>
      </c>
      <c r="C40" s="15" t="n">
        <v>2026</v>
      </c>
      <c r="D40" s="15" t="s">
        <v>525</v>
      </c>
      <c r="E40" s="16" t="s">
        <v>526</v>
      </c>
      <c r="F40" s="15" t="s">
        <v>53</v>
      </c>
      <c r="G40" s="15" t="s">
        <v>394</v>
      </c>
      <c r="H40" s="15" t="s">
        <v>395</v>
      </c>
      <c r="I40" s="15" t="s">
        <v>396</v>
      </c>
      <c r="J40" s="15" t="s">
        <v>397</v>
      </c>
      <c r="K40" s="15"/>
      <c r="L40" s="15" t="s">
        <v>318</v>
      </c>
      <c r="M40" s="15" t="s">
        <v>527</v>
      </c>
      <c r="N40" s="15" t="s">
        <v>528</v>
      </c>
      <c r="O40" s="15" t="s">
        <v>529</v>
      </c>
      <c r="P40" s="15" t="s">
        <v>530</v>
      </c>
      <c r="Q40" s="15"/>
      <c r="R40" s="15" t="s">
        <v>37</v>
      </c>
      <c r="S40" s="15" t="s">
        <v>348</v>
      </c>
      <c r="T40" s="15" t="s">
        <v>531</v>
      </c>
      <c r="U40" s="15" t="s">
        <v>532</v>
      </c>
      <c r="V40" s="15" t="s">
        <v>24</v>
      </c>
      <c r="W40" s="15" t="s">
        <v>403</v>
      </c>
      <c r="X40" s="15" t="s">
        <v>533</v>
      </c>
    </row>
    <row r="41" customFormat="false" ht="96" hidden="false" customHeight="true" outlineLevel="0" collapsed="false">
      <c r="A41" s="14" t="s">
        <v>534</v>
      </c>
      <c r="B41" s="15" t="s">
        <v>535</v>
      </c>
      <c r="C41" s="15" t="n">
        <v>2026</v>
      </c>
      <c r="D41" s="15" t="s">
        <v>536</v>
      </c>
      <c r="E41" s="16" t="s">
        <v>537</v>
      </c>
      <c r="F41" s="15" t="s">
        <v>56</v>
      </c>
      <c r="G41" s="15" t="s">
        <v>394</v>
      </c>
      <c r="H41" s="15" t="s">
        <v>395</v>
      </c>
      <c r="I41" s="15" t="s">
        <v>396</v>
      </c>
      <c r="J41" s="15" t="s">
        <v>397</v>
      </c>
      <c r="K41" s="15" t="s">
        <v>538</v>
      </c>
      <c r="L41" s="15" t="s">
        <v>318</v>
      </c>
      <c r="M41" s="15" t="s">
        <v>539</v>
      </c>
      <c r="N41" s="15" t="s">
        <v>540</v>
      </c>
      <c r="O41" s="15" t="s">
        <v>541</v>
      </c>
      <c r="P41" s="15" t="s">
        <v>542</v>
      </c>
      <c r="Q41" s="15"/>
      <c r="R41" s="15" t="s">
        <v>41</v>
      </c>
      <c r="S41" s="15" t="s">
        <v>439</v>
      </c>
      <c r="T41" s="15" t="s">
        <v>122</v>
      </c>
      <c r="U41" s="15" t="s">
        <v>189</v>
      </c>
      <c r="V41" s="15" t="s">
        <v>24</v>
      </c>
      <c r="W41" s="15" t="s">
        <v>403</v>
      </c>
      <c r="X41" s="15" t="s">
        <v>543</v>
      </c>
    </row>
    <row r="42" customFormat="false" ht="96" hidden="false" customHeight="true" outlineLevel="0" collapsed="false">
      <c r="A42" s="14" t="s">
        <v>544</v>
      </c>
      <c r="B42" s="15" t="s">
        <v>545</v>
      </c>
      <c r="C42" s="15" t="n">
        <v>2026</v>
      </c>
      <c r="D42" s="15" t="s">
        <v>546</v>
      </c>
      <c r="E42" s="16" t="s">
        <v>547</v>
      </c>
      <c r="F42" s="15" t="s">
        <v>56</v>
      </c>
      <c r="G42" s="15" t="s">
        <v>394</v>
      </c>
      <c r="H42" s="15" t="s">
        <v>395</v>
      </c>
      <c r="I42" s="15" t="s">
        <v>396</v>
      </c>
      <c r="J42" s="15" t="s">
        <v>397</v>
      </c>
      <c r="K42" s="15" t="s">
        <v>548</v>
      </c>
      <c r="L42" s="15" t="s">
        <v>318</v>
      </c>
      <c r="M42" s="15" t="s">
        <v>549</v>
      </c>
      <c r="N42" s="15" t="s">
        <v>550</v>
      </c>
      <c r="O42" s="15" t="s">
        <v>551</v>
      </c>
      <c r="P42" s="15" t="s">
        <v>552</v>
      </c>
      <c r="Q42" s="15" t="s">
        <v>553</v>
      </c>
      <c r="R42" s="15" t="s">
        <v>41</v>
      </c>
      <c r="S42" s="15" t="s">
        <v>355</v>
      </c>
      <c r="T42" s="15" t="s">
        <v>122</v>
      </c>
      <c r="U42" s="15" t="s">
        <v>189</v>
      </c>
      <c r="V42" s="15" t="s">
        <v>24</v>
      </c>
      <c r="W42" s="15" t="s">
        <v>416</v>
      </c>
      <c r="X42" s="15" t="s">
        <v>554</v>
      </c>
    </row>
    <row r="43" customFormat="false" ht="96" hidden="false" customHeight="true" outlineLevel="0" collapsed="false">
      <c r="A43" s="14" t="s">
        <v>555</v>
      </c>
      <c r="B43" s="15" t="s">
        <v>556</v>
      </c>
      <c r="C43" s="15" t="n">
        <v>2026</v>
      </c>
      <c r="D43" s="15" t="s">
        <v>557</v>
      </c>
      <c r="E43" s="16" t="s">
        <v>558</v>
      </c>
      <c r="F43" s="15" t="s">
        <v>51</v>
      </c>
      <c r="G43" s="15" t="s">
        <v>559</v>
      </c>
      <c r="H43" s="15"/>
      <c r="I43" s="15"/>
      <c r="J43" s="15"/>
      <c r="K43" s="15"/>
      <c r="L43" s="15" t="s">
        <v>328</v>
      </c>
      <c r="M43" s="15"/>
      <c r="N43" s="15" t="s">
        <v>560</v>
      </c>
      <c r="O43" s="15" t="s">
        <v>561</v>
      </c>
      <c r="P43" s="15" t="s">
        <v>562</v>
      </c>
      <c r="Q43" s="15"/>
      <c r="R43" s="15" t="s">
        <v>43</v>
      </c>
      <c r="S43" s="15" t="s">
        <v>470</v>
      </c>
      <c r="T43" s="15" t="s">
        <v>333</v>
      </c>
      <c r="U43" s="15" t="s">
        <v>334</v>
      </c>
      <c r="V43" s="15" t="s">
        <v>24</v>
      </c>
      <c r="W43" s="15" t="s">
        <v>335</v>
      </c>
      <c r="X43" s="15" t="s">
        <v>563</v>
      </c>
    </row>
    <row r="44" customFormat="false" ht="96" hidden="false" customHeight="true" outlineLevel="0" collapsed="false">
      <c r="A44" s="14" t="s">
        <v>564</v>
      </c>
      <c r="B44" s="15" t="s">
        <v>565</v>
      </c>
      <c r="C44" s="15" t="n">
        <v>2026</v>
      </c>
      <c r="D44" s="15" t="s">
        <v>566</v>
      </c>
      <c r="E44" s="16" t="s">
        <v>567</v>
      </c>
      <c r="F44" s="15" t="s">
        <v>50</v>
      </c>
      <c r="G44" s="15" t="s">
        <v>559</v>
      </c>
      <c r="H44" s="15"/>
      <c r="I44" s="15"/>
      <c r="J44" s="15"/>
      <c r="K44" s="15"/>
      <c r="L44" s="15" t="s">
        <v>328</v>
      </c>
      <c r="M44" s="15"/>
      <c r="N44" s="15" t="s">
        <v>568</v>
      </c>
      <c r="O44" s="15" t="s">
        <v>569</v>
      </c>
      <c r="P44" s="15" t="s">
        <v>570</v>
      </c>
      <c r="Q44" s="15"/>
      <c r="R44" s="15" t="s">
        <v>43</v>
      </c>
      <c r="S44" s="15" t="s">
        <v>571</v>
      </c>
      <c r="T44" s="15" t="s">
        <v>333</v>
      </c>
      <c r="U44" s="15" t="s">
        <v>572</v>
      </c>
      <c r="V44" s="15" t="s">
        <v>24</v>
      </c>
      <c r="W44" s="15" t="s">
        <v>335</v>
      </c>
      <c r="X44" s="15" t="s">
        <v>573</v>
      </c>
    </row>
    <row r="45" customFormat="false" ht="96" hidden="false" customHeight="true" outlineLevel="0" collapsed="false">
      <c r="A45" s="14" t="s">
        <v>574</v>
      </c>
      <c r="B45" s="15" t="s">
        <v>575</v>
      </c>
      <c r="C45" s="15" t="n">
        <v>2026</v>
      </c>
      <c r="D45" s="15" t="s">
        <v>557</v>
      </c>
      <c r="E45" s="16" t="s">
        <v>576</v>
      </c>
      <c r="F45" s="15" t="s">
        <v>51</v>
      </c>
      <c r="G45" s="15" t="s">
        <v>559</v>
      </c>
      <c r="H45" s="15"/>
      <c r="I45" s="15"/>
      <c r="J45" s="15"/>
      <c r="K45" s="15"/>
      <c r="L45" s="15" t="s">
        <v>328</v>
      </c>
      <c r="M45" s="15"/>
      <c r="N45" s="15" t="s">
        <v>577</v>
      </c>
      <c r="O45" s="15" t="s">
        <v>578</v>
      </c>
      <c r="P45" s="15" t="s">
        <v>579</v>
      </c>
      <c r="Q45" s="15"/>
      <c r="R45" s="15" t="s">
        <v>39</v>
      </c>
      <c r="S45" s="15" t="s">
        <v>494</v>
      </c>
      <c r="T45" s="15" t="s">
        <v>333</v>
      </c>
      <c r="U45" s="15" t="s">
        <v>334</v>
      </c>
      <c r="V45" s="15" t="s">
        <v>24</v>
      </c>
      <c r="W45" s="15" t="s">
        <v>580</v>
      </c>
      <c r="X45" s="15" t="s">
        <v>581</v>
      </c>
    </row>
    <row r="46" customFormat="false" ht="96" hidden="false" customHeight="true" outlineLevel="0" collapsed="false">
      <c r="A46" s="14" t="s">
        <v>582</v>
      </c>
      <c r="B46" s="15" t="s">
        <v>583</v>
      </c>
      <c r="C46" s="15" t="n">
        <v>2026</v>
      </c>
      <c r="D46" s="15" t="s">
        <v>557</v>
      </c>
      <c r="E46" s="16" t="s">
        <v>584</v>
      </c>
      <c r="F46" s="15" t="s">
        <v>63</v>
      </c>
      <c r="G46" s="15" t="s">
        <v>559</v>
      </c>
      <c r="H46" s="15"/>
      <c r="I46" s="15"/>
      <c r="J46" s="15"/>
      <c r="K46" s="15"/>
      <c r="L46" s="15" t="s">
        <v>328</v>
      </c>
      <c r="M46" s="15"/>
      <c r="N46" s="15" t="s">
        <v>585</v>
      </c>
      <c r="O46" s="15" t="s">
        <v>586</v>
      </c>
      <c r="P46" s="15" t="s">
        <v>587</v>
      </c>
      <c r="Q46" s="15"/>
      <c r="R46" s="15" t="s">
        <v>39</v>
      </c>
      <c r="S46" s="15" t="s">
        <v>588</v>
      </c>
      <c r="T46" s="15" t="s">
        <v>333</v>
      </c>
      <c r="U46" s="15" t="s">
        <v>334</v>
      </c>
      <c r="V46" s="15" t="s">
        <v>24</v>
      </c>
      <c r="W46" s="15" t="s">
        <v>335</v>
      </c>
      <c r="X46" s="15" t="s">
        <v>589</v>
      </c>
    </row>
    <row r="47" customFormat="false" ht="96" hidden="false" customHeight="true" outlineLevel="0" collapsed="false">
      <c r="A47" s="14" t="s">
        <v>590</v>
      </c>
      <c r="B47" s="15" t="s">
        <v>591</v>
      </c>
      <c r="C47" s="15" t="n">
        <v>2026</v>
      </c>
      <c r="D47" s="15" t="s">
        <v>592</v>
      </c>
      <c r="E47" s="16" t="s">
        <v>593</v>
      </c>
      <c r="F47" s="15" t="s">
        <v>62</v>
      </c>
      <c r="G47" s="15" t="s">
        <v>594</v>
      </c>
      <c r="H47" s="15" t="s">
        <v>595</v>
      </c>
      <c r="I47" s="15" t="s">
        <v>596</v>
      </c>
      <c r="J47" s="15" t="s">
        <v>597</v>
      </c>
      <c r="K47" s="15"/>
      <c r="L47" s="15" t="s">
        <v>598</v>
      </c>
      <c r="M47" s="15"/>
      <c r="N47" s="15" t="s">
        <v>599</v>
      </c>
      <c r="O47" s="15" t="s">
        <v>600</v>
      </c>
      <c r="P47" s="15" t="s">
        <v>601</v>
      </c>
      <c r="Q47" s="15" t="s">
        <v>234</v>
      </c>
      <c r="R47" s="15" t="s">
        <v>36</v>
      </c>
      <c r="S47" s="15" t="s">
        <v>602</v>
      </c>
      <c r="T47" s="15" t="s">
        <v>122</v>
      </c>
      <c r="U47" s="15" t="s">
        <v>104</v>
      </c>
      <c r="V47" s="15" t="s">
        <v>25</v>
      </c>
      <c r="W47" s="15" t="s">
        <v>603</v>
      </c>
      <c r="X47" s="15" t="s">
        <v>604</v>
      </c>
    </row>
    <row r="48" customFormat="false" ht="96" hidden="false" customHeight="true" outlineLevel="0" collapsed="false">
      <c r="A48" s="14" t="s">
        <v>605</v>
      </c>
      <c r="B48" s="15" t="s">
        <v>486</v>
      </c>
      <c r="C48" s="15" t="n">
        <v>2026</v>
      </c>
      <c r="D48" s="15" t="s">
        <v>606</v>
      </c>
      <c r="E48" s="16" t="s">
        <v>607</v>
      </c>
      <c r="F48" s="15" t="s">
        <v>61</v>
      </c>
      <c r="G48" s="15" t="s">
        <v>218</v>
      </c>
      <c r="H48" s="15"/>
      <c r="I48" s="15"/>
      <c r="J48" s="15"/>
      <c r="K48" s="15"/>
      <c r="L48" s="15" t="s">
        <v>218</v>
      </c>
      <c r="M48" s="15"/>
      <c r="N48" s="15" t="s">
        <v>608</v>
      </c>
      <c r="O48" s="15" t="s">
        <v>609</v>
      </c>
      <c r="P48" s="15" t="s">
        <v>610</v>
      </c>
      <c r="Q48" s="15" t="s">
        <v>611</v>
      </c>
      <c r="R48" s="15" t="s">
        <v>33</v>
      </c>
      <c r="S48" s="15" t="s">
        <v>494</v>
      </c>
      <c r="T48" s="15" t="s">
        <v>612</v>
      </c>
      <c r="U48" s="15" t="s">
        <v>104</v>
      </c>
      <c r="V48" s="15" t="s">
        <v>24</v>
      </c>
      <c r="W48" s="15" t="s">
        <v>613</v>
      </c>
      <c r="X48" s="15" t="s">
        <v>614</v>
      </c>
    </row>
    <row r="49" customFormat="false" ht="96" hidden="false" customHeight="true" outlineLevel="0" collapsed="false">
      <c r="A49" s="14" t="s">
        <v>615</v>
      </c>
      <c r="B49" s="15" t="s">
        <v>486</v>
      </c>
      <c r="C49" s="15" t="n">
        <v>2026</v>
      </c>
      <c r="D49" s="15" t="s">
        <v>616</v>
      </c>
      <c r="E49" s="16" t="s">
        <v>617</v>
      </c>
      <c r="F49" s="15" t="s">
        <v>55</v>
      </c>
      <c r="G49" s="15" t="s">
        <v>218</v>
      </c>
      <c r="H49" s="15"/>
      <c r="I49" s="15"/>
      <c r="J49" s="15"/>
      <c r="K49" s="15"/>
      <c r="L49" s="15" t="s">
        <v>218</v>
      </c>
      <c r="M49" s="15"/>
      <c r="N49" s="15" t="s">
        <v>618</v>
      </c>
      <c r="O49" s="15" t="s">
        <v>619</v>
      </c>
      <c r="P49" s="15" t="s">
        <v>620</v>
      </c>
      <c r="Q49" s="15" t="s">
        <v>611</v>
      </c>
      <c r="R49" s="15" t="s">
        <v>33</v>
      </c>
      <c r="S49" s="15" t="s">
        <v>494</v>
      </c>
      <c r="T49" s="15" t="s">
        <v>621</v>
      </c>
      <c r="U49" s="15" t="s">
        <v>104</v>
      </c>
      <c r="V49" s="15" t="s">
        <v>24</v>
      </c>
      <c r="W49" s="15" t="s">
        <v>622</v>
      </c>
      <c r="X49" s="15"/>
    </row>
    <row r="50" customFormat="false" ht="96" hidden="false" customHeight="true" outlineLevel="0" collapsed="false">
      <c r="A50" s="14" t="s">
        <v>623</v>
      </c>
      <c r="B50" s="15" t="s">
        <v>624</v>
      </c>
      <c r="C50" s="15" t="n">
        <v>2026</v>
      </c>
      <c r="D50" s="15" t="s">
        <v>625</v>
      </c>
      <c r="E50" s="16" t="s">
        <v>626</v>
      </c>
      <c r="F50" s="15" t="s">
        <v>55</v>
      </c>
      <c r="G50" s="15" t="s">
        <v>627</v>
      </c>
      <c r="H50" s="15"/>
      <c r="I50" s="15"/>
      <c r="J50" s="15"/>
      <c r="K50" s="15"/>
      <c r="L50" s="15" t="s">
        <v>628</v>
      </c>
      <c r="M50" s="15"/>
      <c r="N50" s="15" t="s">
        <v>629</v>
      </c>
      <c r="O50" s="15" t="s">
        <v>630</v>
      </c>
      <c r="P50" s="15" t="s">
        <v>631</v>
      </c>
      <c r="Q50" s="15" t="s">
        <v>632</v>
      </c>
      <c r="R50" s="15" t="s">
        <v>33</v>
      </c>
      <c r="S50" s="15" t="s">
        <v>494</v>
      </c>
      <c r="T50" s="15" t="s">
        <v>137</v>
      </c>
      <c r="U50" s="15" t="s">
        <v>104</v>
      </c>
      <c r="V50" s="15" t="s">
        <v>24</v>
      </c>
      <c r="W50" s="15" t="s">
        <v>633</v>
      </c>
      <c r="X50" s="15" t="s">
        <v>634</v>
      </c>
    </row>
    <row r="51" customFormat="false" ht="96" hidden="false" customHeight="true" outlineLevel="0" collapsed="false">
      <c r="A51" s="14" t="s">
        <v>635</v>
      </c>
      <c r="B51" s="15" t="s">
        <v>486</v>
      </c>
      <c r="C51" s="15" t="n">
        <v>2026</v>
      </c>
      <c r="D51" s="15" t="s">
        <v>636</v>
      </c>
      <c r="E51" s="16" t="s">
        <v>637</v>
      </c>
      <c r="F51" s="15" t="s">
        <v>52</v>
      </c>
      <c r="G51" s="15" t="s">
        <v>638</v>
      </c>
      <c r="H51" s="15" t="s">
        <v>639</v>
      </c>
      <c r="I51" s="15"/>
      <c r="J51" s="15"/>
      <c r="K51" s="15"/>
      <c r="L51" s="15" t="s">
        <v>640</v>
      </c>
      <c r="M51" s="15"/>
      <c r="N51" s="15" t="s">
        <v>641</v>
      </c>
      <c r="O51" s="15" t="s">
        <v>642</v>
      </c>
      <c r="P51" s="15" t="s">
        <v>643</v>
      </c>
      <c r="Q51" s="15" t="s">
        <v>644</v>
      </c>
      <c r="R51" s="15" t="s">
        <v>33</v>
      </c>
      <c r="S51" s="15" t="s">
        <v>494</v>
      </c>
      <c r="T51" s="15" t="s">
        <v>645</v>
      </c>
      <c r="U51" s="15" t="s">
        <v>104</v>
      </c>
      <c r="V51" s="15" t="s">
        <v>25</v>
      </c>
      <c r="W51" s="15" t="s">
        <v>646</v>
      </c>
      <c r="X51" s="15" t="s">
        <v>647</v>
      </c>
    </row>
    <row r="52" customFormat="false" ht="96" hidden="false" customHeight="true" outlineLevel="0" collapsed="false">
      <c r="A52" s="14" t="s">
        <v>648</v>
      </c>
      <c r="B52" s="15" t="s">
        <v>575</v>
      </c>
      <c r="C52" s="15" t="n">
        <v>2026</v>
      </c>
      <c r="D52" s="15" t="s">
        <v>557</v>
      </c>
      <c r="E52" s="16" t="s">
        <v>649</v>
      </c>
      <c r="F52" s="15" t="s">
        <v>49</v>
      </c>
      <c r="G52" s="15" t="s">
        <v>650</v>
      </c>
      <c r="H52" s="15"/>
      <c r="I52" s="15"/>
      <c r="J52" s="15"/>
      <c r="K52" s="15"/>
      <c r="L52" s="15" t="s">
        <v>651</v>
      </c>
      <c r="M52" s="15"/>
      <c r="N52" s="15" t="s">
        <v>652</v>
      </c>
      <c r="O52" s="15" t="s">
        <v>653</v>
      </c>
      <c r="P52" s="15" t="s">
        <v>654</v>
      </c>
      <c r="Q52" s="15"/>
      <c r="R52" s="15" t="s">
        <v>43</v>
      </c>
      <c r="S52" s="15" t="s">
        <v>571</v>
      </c>
      <c r="T52" s="15" t="s">
        <v>387</v>
      </c>
      <c r="U52" s="15" t="s">
        <v>104</v>
      </c>
      <c r="V52" s="15" t="s">
        <v>25</v>
      </c>
      <c r="W52" s="15" t="s">
        <v>655</v>
      </c>
      <c r="X52" s="15" t="s">
        <v>656</v>
      </c>
    </row>
    <row r="53" customFormat="false" ht="96" hidden="false" customHeight="true" outlineLevel="0" collapsed="false">
      <c r="A53" s="14" t="s">
        <v>657</v>
      </c>
      <c r="B53" s="15" t="s">
        <v>658</v>
      </c>
      <c r="C53" s="15" t="n">
        <v>2026</v>
      </c>
      <c r="D53" s="15" t="s">
        <v>636</v>
      </c>
      <c r="E53" s="16" t="s">
        <v>659</v>
      </c>
      <c r="F53" s="15" t="s">
        <v>55</v>
      </c>
      <c r="G53" s="15" t="s">
        <v>660</v>
      </c>
      <c r="H53" s="15"/>
      <c r="I53" s="15" t="s">
        <v>597</v>
      </c>
      <c r="J53" s="15" t="s">
        <v>113</v>
      </c>
      <c r="K53" s="15"/>
      <c r="L53" s="15" t="s">
        <v>661</v>
      </c>
      <c r="M53" s="15"/>
      <c r="N53" s="15"/>
      <c r="O53" s="15" t="s">
        <v>662</v>
      </c>
      <c r="P53" s="15" t="s">
        <v>663</v>
      </c>
      <c r="Q53" s="15"/>
      <c r="R53" s="15" t="s">
        <v>43</v>
      </c>
      <c r="S53" s="15" t="s">
        <v>571</v>
      </c>
      <c r="T53" s="15" t="s">
        <v>664</v>
      </c>
      <c r="U53" s="15" t="s">
        <v>665</v>
      </c>
      <c r="V53" s="15" t="s">
        <v>25</v>
      </c>
      <c r="W53" s="15" t="s">
        <v>655</v>
      </c>
      <c r="X53" s="15" t="s">
        <v>666</v>
      </c>
    </row>
    <row r="54" customFormat="false" ht="96" hidden="false" customHeight="true" outlineLevel="0" collapsed="false">
      <c r="A54" s="14" t="s">
        <v>667</v>
      </c>
      <c r="B54" s="15" t="s">
        <v>668</v>
      </c>
      <c r="C54" s="15" t="n">
        <v>2026</v>
      </c>
      <c r="D54" s="15" t="s">
        <v>669</v>
      </c>
      <c r="E54" s="16" t="s">
        <v>670</v>
      </c>
      <c r="F54" s="15" t="s">
        <v>53</v>
      </c>
      <c r="G54" s="15" t="s">
        <v>594</v>
      </c>
      <c r="H54" s="15" t="s">
        <v>671</v>
      </c>
      <c r="I54" s="15" t="s">
        <v>596</v>
      </c>
      <c r="J54" s="15" t="s">
        <v>113</v>
      </c>
      <c r="K54" s="15"/>
      <c r="L54" s="15" t="s">
        <v>598</v>
      </c>
      <c r="M54" s="15" t="s">
        <v>672</v>
      </c>
      <c r="N54" s="15" t="s">
        <v>673</v>
      </c>
      <c r="O54" s="15" t="s">
        <v>674</v>
      </c>
      <c r="P54" s="15" t="s">
        <v>675</v>
      </c>
      <c r="Q54" s="15"/>
      <c r="R54" s="15" t="s">
        <v>33</v>
      </c>
      <c r="S54" s="15" t="s">
        <v>238</v>
      </c>
      <c r="T54" s="15" t="s">
        <v>531</v>
      </c>
      <c r="U54" s="15" t="s">
        <v>104</v>
      </c>
      <c r="V54" s="15" t="s">
        <v>24</v>
      </c>
      <c r="W54" s="15" t="s">
        <v>676</v>
      </c>
      <c r="X54" s="15" t="s">
        <v>677</v>
      </c>
    </row>
  </sheetData>
  <autoFilter ref="A4:X54"/>
  <conditionalFormatting sqref="A5:X54">
    <cfRule type="expression" priority="2" aboveAverage="0" equalAverage="0" bottom="0" percent="0" rank="0" text="" dxfId="7">
      <formula>MOD(ROW(),2)=0</formula>
    </cfRule>
  </conditionalFormatting>
  <conditionalFormatting sqref="V5:V54">
    <cfRule type="expression" priority="3" aboveAverage="0" equalAverage="0" bottom="0" percent="0" rank="0" text="" dxfId="8">
      <formula>$V5="Partially verified"</formula>
    </cfRule>
    <cfRule type="expression" priority="4" aboveAverage="0" equalAverage="0" bottom="0" percent="0" rank="0" text="" dxfId="9">
      <formula>$V5="Verified"</formula>
    </cfRule>
  </conditionalFormatting>
  <dataValidations count="3">
    <dataValidation allowBlank="true" errorStyle="stop" operator="between" showDropDown="false" showErrorMessage="false" showInputMessage="false" sqref="R5:R500" type="list">
      <formula1>Lists!$A$1:$A$12</formula1>
      <formula2>0</formula2>
    </dataValidation>
    <dataValidation allowBlank="true" errorStyle="stop" operator="between" showDropDown="false" showErrorMessage="false" showInputMessage="false" sqref="F5:F500" type="list">
      <formula1>Lists!$B$1:$B$18</formula1>
      <formula2>0</formula2>
    </dataValidation>
    <dataValidation allowBlank="true" errorStyle="stop" operator="between" showDropDown="false" showErrorMessage="false" showInputMessage="false" sqref="V5:V500" type="list">
      <formula1>Lists!$C$1:$C$3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5" t="s">
        <v>678</v>
      </c>
    </row>
    <row r="2" customFormat="false" ht="15" hidden="false" customHeight="false" outlineLevel="0" collapsed="false">
      <c r="A2" s="6" t="s">
        <v>679</v>
      </c>
    </row>
    <row r="4" customFormat="false" ht="30" hidden="false" customHeight="true" outlineLevel="0" collapsed="false">
      <c r="A4" s="13" t="s">
        <v>680</v>
      </c>
      <c r="B4" s="13" t="s">
        <v>66</v>
      </c>
      <c r="C4" s="13" t="s">
        <v>67</v>
      </c>
      <c r="D4" s="13" t="s">
        <v>70</v>
      </c>
      <c r="E4" s="13" t="s">
        <v>76</v>
      </c>
      <c r="F4" s="13" t="s">
        <v>681</v>
      </c>
      <c r="G4" s="13" t="s">
        <v>78</v>
      </c>
      <c r="H4" s="13" t="s">
        <v>682</v>
      </c>
    </row>
    <row r="5" customFormat="false" ht="31.5" hidden="false" customHeight="true" outlineLevel="0" collapsed="false">
      <c r="A5" s="15" t="n">
        <v>1</v>
      </c>
      <c r="B5" s="15" t="s">
        <v>523</v>
      </c>
      <c r="C5" s="15" t="s">
        <v>683</v>
      </c>
      <c r="D5" s="15" t="s">
        <v>684</v>
      </c>
      <c r="E5" s="15" t="s">
        <v>421</v>
      </c>
      <c r="F5" s="15" t="s">
        <v>685</v>
      </c>
      <c r="G5" s="15" t="s">
        <v>527</v>
      </c>
      <c r="H5" s="15" t="s">
        <v>686</v>
      </c>
    </row>
    <row r="6" customFormat="false" ht="31.5" hidden="false" customHeight="true" outlineLevel="0" collapsed="false">
      <c r="A6" s="15" t="n">
        <v>2</v>
      </c>
      <c r="B6" s="15" t="s">
        <v>451</v>
      </c>
      <c r="C6" s="15" t="s">
        <v>452</v>
      </c>
      <c r="D6" s="15" t="s">
        <v>453</v>
      </c>
      <c r="E6" s="15" t="s">
        <v>454</v>
      </c>
      <c r="F6" s="15" t="s">
        <v>687</v>
      </c>
      <c r="G6" s="15" t="s">
        <v>455</v>
      </c>
      <c r="H6" s="15" t="s">
        <v>688</v>
      </c>
    </row>
    <row r="7" customFormat="false" ht="31.5" hidden="false" customHeight="true" outlineLevel="0" collapsed="false">
      <c r="A7" s="15" t="n">
        <v>3</v>
      </c>
      <c r="B7" s="15" t="s">
        <v>417</v>
      </c>
      <c r="C7" s="15" t="s">
        <v>427</v>
      </c>
      <c r="D7" s="15" t="s">
        <v>420</v>
      </c>
      <c r="E7" s="15" t="s">
        <v>689</v>
      </c>
      <c r="F7" s="15" t="s">
        <v>690</v>
      </c>
      <c r="G7" s="15" t="s">
        <v>422</v>
      </c>
      <c r="H7" s="15" t="s">
        <v>691</v>
      </c>
    </row>
    <row r="8" customFormat="false" ht="31.5" hidden="false" customHeight="true" outlineLevel="0" collapsed="false">
      <c r="A8" s="15" t="n">
        <v>4</v>
      </c>
      <c r="B8" s="15" t="s">
        <v>430</v>
      </c>
      <c r="C8" s="15" t="s">
        <v>692</v>
      </c>
      <c r="D8" s="15" t="s">
        <v>433</v>
      </c>
      <c r="E8" s="15" t="s">
        <v>693</v>
      </c>
      <c r="F8" s="15" t="s">
        <v>694</v>
      </c>
      <c r="G8" s="15" t="s">
        <v>434</v>
      </c>
      <c r="H8" s="15" t="s">
        <v>691</v>
      </c>
    </row>
    <row r="9" customFormat="false" ht="31.5" hidden="false" customHeight="true" outlineLevel="0" collapsed="false">
      <c r="A9" s="15" t="n">
        <v>5</v>
      </c>
      <c r="B9" s="15" t="s">
        <v>441</v>
      </c>
      <c r="C9" s="15" t="s">
        <v>442</v>
      </c>
      <c r="D9" s="15" t="s">
        <v>444</v>
      </c>
      <c r="E9" s="15" t="s">
        <v>695</v>
      </c>
      <c r="F9" s="15" t="s">
        <v>696</v>
      </c>
      <c r="G9" s="15" t="s">
        <v>445</v>
      </c>
      <c r="H9" s="15" t="s">
        <v>691</v>
      </c>
    </row>
    <row r="10" customFormat="false" ht="31.5" hidden="false" customHeight="true" outlineLevel="0" collapsed="false">
      <c r="A10" s="15" t="n">
        <v>6</v>
      </c>
      <c r="B10" s="15" t="s">
        <v>405</v>
      </c>
      <c r="C10" s="15" t="s">
        <v>697</v>
      </c>
      <c r="D10" s="15" t="s">
        <v>698</v>
      </c>
      <c r="E10" s="15" t="s">
        <v>409</v>
      </c>
      <c r="F10" s="15" t="s">
        <v>687</v>
      </c>
      <c r="G10" s="15" t="s">
        <v>410</v>
      </c>
      <c r="H10" s="15" t="s">
        <v>699</v>
      </c>
    </row>
    <row r="11" customFormat="false" ht="31.5" hidden="false" customHeight="true" outlineLevel="0" collapsed="false">
      <c r="A11" s="15" t="n">
        <v>7</v>
      </c>
      <c r="B11" s="15" t="s">
        <v>391</v>
      </c>
      <c r="C11" s="15" t="s">
        <v>238</v>
      </c>
      <c r="D11" s="15" t="s">
        <v>393</v>
      </c>
      <c r="E11" s="15" t="s">
        <v>398</v>
      </c>
      <c r="F11" s="15" t="s">
        <v>700</v>
      </c>
      <c r="G11" s="15" t="s">
        <v>399</v>
      </c>
      <c r="H11" s="15" t="s">
        <v>701</v>
      </c>
    </row>
    <row r="12" customFormat="false" ht="31.5" hidden="false" customHeight="true" outlineLevel="0" collapsed="false">
      <c r="A12" s="15" t="n">
        <v>8</v>
      </c>
      <c r="B12" s="15" t="s">
        <v>534</v>
      </c>
      <c r="C12" s="15" t="s">
        <v>702</v>
      </c>
      <c r="D12" s="15" t="s">
        <v>537</v>
      </c>
      <c r="E12" s="15" t="s">
        <v>538</v>
      </c>
      <c r="F12" s="15" t="s">
        <v>703</v>
      </c>
      <c r="G12" s="15" t="s">
        <v>539</v>
      </c>
      <c r="H12" s="15" t="s">
        <v>701</v>
      </c>
    </row>
    <row r="13" customFormat="false" ht="31.5" hidden="false" customHeight="true" outlineLevel="0" collapsed="false">
      <c r="A13" s="15" t="n">
        <v>9</v>
      </c>
      <c r="B13" s="15" t="s">
        <v>544</v>
      </c>
      <c r="C13" s="15" t="s">
        <v>704</v>
      </c>
      <c r="D13" s="15" t="s">
        <v>547</v>
      </c>
      <c r="E13" s="15" t="s">
        <v>548</v>
      </c>
      <c r="F13" s="15" t="s">
        <v>705</v>
      </c>
      <c r="G13" s="15" t="s">
        <v>549</v>
      </c>
      <c r="H13" s="15" t="s">
        <v>706</v>
      </c>
    </row>
    <row r="15" customFormat="false" ht="30" hidden="false" customHeight="true" outlineLevel="0" collapsed="false">
      <c r="A15" s="17" t="s">
        <v>707</v>
      </c>
      <c r="B15" s="18" t="s">
        <v>708</v>
      </c>
      <c r="C15" s="18"/>
      <c r="D15" s="18"/>
      <c r="E15" s="18"/>
      <c r="F15" s="18"/>
      <c r="G15" s="18"/>
      <c r="H15" s="18"/>
    </row>
    <row r="16" customFormat="false" ht="15" hidden="false" customHeight="false" outlineLevel="0" collapsed="false">
      <c r="A16" s="19" t="s">
        <v>709</v>
      </c>
      <c r="B16" s="8" t="n">
        <f aca="false">COUNTA(B5:B13)</f>
        <v>9</v>
      </c>
    </row>
  </sheetData>
  <mergeCells count="1"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40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5" t="s">
        <v>710</v>
      </c>
    </row>
    <row r="2" customFormat="false" ht="15" hidden="false" customHeight="false" outlineLevel="0" collapsed="false">
      <c r="A2" s="6" t="s">
        <v>711</v>
      </c>
    </row>
    <row r="4" customFormat="false" ht="30" hidden="false" customHeight="true" outlineLevel="0" collapsed="false">
      <c r="A4" s="13" t="s">
        <v>712</v>
      </c>
      <c r="B4" s="13" t="s">
        <v>70</v>
      </c>
      <c r="C4" s="13" t="s">
        <v>713</v>
      </c>
      <c r="D4" s="13" t="s">
        <v>68</v>
      </c>
      <c r="E4" s="13" t="s">
        <v>714</v>
      </c>
      <c r="F4" s="13" t="s">
        <v>715</v>
      </c>
      <c r="G4" s="13" t="s">
        <v>716</v>
      </c>
      <c r="H4" s="13" t="s">
        <v>717</v>
      </c>
      <c r="I4" s="13" t="s">
        <v>718</v>
      </c>
    </row>
    <row r="5" customFormat="false" ht="30" hidden="false" customHeight="true" outlineLevel="0" collapsed="false">
      <c r="A5" s="15" t="s">
        <v>719</v>
      </c>
      <c r="B5" s="15" t="s">
        <v>720</v>
      </c>
      <c r="C5" s="15" t="s">
        <v>721</v>
      </c>
      <c r="D5" s="15" t="n">
        <v>2004</v>
      </c>
      <c r="E5" s="15" t="s">
        <v>722</v>
      </c>
      <c r="F5" s="15" t="s">
        <v>723</v>
      </c>
      <c r="G5" s="15" t="s">
        <v>724</v>
      </c>
      <c r="H5" s="15" t="s">
        <v>725</v>
      </c>
      <c r="I5" s="15" t="s">
        <v>726</v>
      </c>
    </row>
    <row r="6" customFormat="false" ht="30" hidden="false" customHeight="true" outlineLevel="0" collapsed="false">
      <c r="A6" s="15" t="s">
        <v>727</v>
      </c>
      <c r="B6" s="15" t="s">
        <v>728</v>
      </c>
      <c r="C6" s="15" t="s">
        <v>729</v>
      </c>
      <c r="D6" s="15" t="n">
        <v>2006</v>
      </c>
      <c r="E6" s="15" t="s">
        <v>722</v>
      </c>
      <c r="F6" s="15" t="s">
        <v>730</v>
      </c>
      <c r="G6" s="15"/>
      <c r="H6" s="15" t="s">
        <v>731</v>
      </c>
      <c r="I6" s="15" t="s">
        <v>140</v>
      </c>
    </row>
    <row r="7" customFormat="false" ht="30" hidden="false" customHeight="true" outlineLevel="0" collapsed="false">
      <c r="A7" s="15" t="s">
        <v>732</v>
      </c>
      <c r="B7" s="15" t="s">
        <v>733</v>
      </c>
      <c r="C7" s="15" t="s">
        <v>729</v>
      </c>
      <c r="D7" s="15" t="n">
        <v>2009</v>
      </c>
      <c r="E7" s="15" t="s">
        <v>722</v>
      </c>
      <c r="F7" s="15" t="s">
        <v>734</v>
      </c>
      <c r="G7" s="15"/>
      <c r="H7" s="15" t="s">
        <v>731</v>
      </c>
      <c r="I7" s="15" t="s">
        <v>140</v>
      </c>
    </row>
    <row r="8" customFormat="false" ht="30" hidden="false" customHeight="true" outlineLevel="0" collapsed="false">
      <c r="A8" s="15" t="s">
        <v>735</v>
      </c>
      <c r="B8" s="15" t="s">
        <v>736</v>
      </c>
      <c r="C8" s="15" t="s">
        <v>737</v>
      </c>
      <c r="D8" s="15" t="n">
        <v>2015</v>
      </c>
      <c r="E8" s="15" t="s">
        <v>738</v>
      </c>
      <c r="F8" s="15" t="s">
        <v>723</v>
      </c>
      <c r="G8" s="15" t="s">
        <v>739</v>
      </c>
      <c r="H8" s="15" t="s">
        <v>740</v>
      </c>
      <c r="I8" s="15" t="s">
        <v>89</v>
      </c>
    </row>
    <row r="9" customFormat="false" ht="30" hidden="false" customHeight="true" outlineLevel="0" collapsed="false">
      <c r="A9" s="15" t="s">
        <v>741</v>
      </c>
      <c r="B9" s="15" t="s">
        <v>742</v>
      </c>
      <c r="C9" s="15" t="s">
        <v>743</v>
      </c>
      <c r="D9" s="15" t="n">
        <v>2018</v>
      </c>
      <c r="E9" s="15" t="s">
        <v>744</v>
      </c>
      <c r="F9" s="15" t="s">
        <v>745</v>
      </c>
      <c r="G9" s="15" t="s">
        <v>746</v>
      </c>
      <c r="H9" s="15" t="s">
        <v>747</v>
      </c>
      <c r="I9" s="15" t="s">
        <v>125</v>
      </c>
    </row>
    <row r="10" customFormat="false" ht="30" hidden="false" customHeight="true" outlineLevel="0" collapsed="false">
      <c r="A10" s="15" t="s">
        <v>748</v>
      </c>
      <c r="B10" s="15" t="s">
        <v>234</v>
      </c>
      <c r="C10" s="15" t="s">
        <v>749</v>
      </c>
      <c r="D10" s="15" t="n">
        <v>2022</v>
      </c>
      <c r="E10" s="15" t="s">
        <v>750</v>
      </c>
      <c r="F10" s="15" t="s">
        <v>745</v>
      </c>
      <c r="G10" s="15" t="s">
        <v>751</v>
      </c>
      <c r="H10" s="15" t="s">
        <v>752</v>
      </c>
      <c r="I10" s="15" t="s">
        <v>753</v>
      </c>
    </row>
    <row r="11" customFormat="false" ht="30" hidden="false" customHeight="true" outlineLevel="0" collapsed="false">
      <c r="A11" s="15" t="s">
        <v>754</v>
      </c>
      <c r="B11" s="15" t="s">
        <v>755</v>
      </c>
      <c r="C11" s="15" t="s">
        <v>756</v>
      </c>
      <c r="D11" s="15" t="n">
        <v>2024</v>
      </c>
      <c r="E11" s="15" t="s">
        <v>757</v>
      </c>
      <c r="F11" s="15" t="s">
        <v>723</v>
      </c>
      <c r="G11" s="15" t="s">
        <v>758</v>
      </c>
      <c r="H11" s="15" t="s">
        <v>759</v>
      </c>
      <c r="I11" s="15" t="s">
        <v>760</v>
      </c>
    </row>
    <row r="12" customFormat="false" ht="30" hidden="false" customHeight="true" outlineLevel="0" collapsed="false">
      <c r="A12" s="15" t="s">
        <v>761</v>
      </c>
      <c r="B12" s="15" t="s">
        <v>762</v>
      </c>
      <c r="C12" s="15" t="s">
        <v>763</v>
      </c>
      <c r="D12" s="15" t="s">
        <v>764</v>
      </c>
      <c r="E12" s="15" t="s">
        <v>765</v>
      </c>
      <c r="F12" s="15" t="s">
        <v>734</v>
      </c>
      <c r="G12" s="15" t="s">
        <v>766</v>
      </c>
      <c r="H12" s="15" t="s">
        <v>767</v>
      </c>
      <c r="I12" s="15" t="s">
        <v>768</v>
      </c>
    </row>
    <row r="13" customFormat="false" ht="30" hidden="false" customHeight="true" outlineLevel="0" collapsed="false">
      <c r="A13" s="15" t="s">
        <v>769</v>
      </c>
      <c r="B13" s="15" t="s">
        <v>770</v>
      </c>
      <c r="C13" s="15" t="s">
        <v>771</v>
      </c>
      <c r="D13" s="15" t="s">
        <v>772</v>
      </c>
      <c r="E13" s="15" t="s">
        <v>773</v>
      </c>
      <c r="F13" s="15" t="s">
        <v>774</v>
      </c>
      <c r="G13" s="15"/>
      <c r="H13" s="15" t="s">
        <v>767</v>
      </c>
      <c r="I13" s="15" t="s">
        <v>417</v>
      </c>
    </row>
    <row r="14" customFormat="false" ht="30" hidden="false" customHeight="true" outlineLevel="0" collapsed="false">
      <c r="A14" s="15" t="s">
        <v>775</v>
      </c>
      <c r="B14" s="15" t="s">
        <v>776</v>
      </c>
      <c r="C14" s="15" t="s">
        <v>777</v>
      </c>
      <c r="D14" s="15" t="n">
        <v>2026</v>
      </c>
      <c r="E14" s="15" t="s">
        <v>778</v>
      </c>
      <c r="F14" s="15" t="s">
        <v>774</v>
      </c>
      <c r="G14" s="15" t="s">
        <v>766</v>
      </c>
      <c r="H14" s="15" t="s">
        <v>779</v>
      </c>
      <c r="I14" s="15" t="s">
        <v>510</v>
      </c>
    </row>
    <row r="15" customFormat="false" ht="30" hidden="false" customHeight="true" outlineLevel="0" collapsed="false">
      <c r="A15" s="15" t="s">
        <v>780</v>
      </c>
      <c r="B15" s="15" t="s">
        <v>781</v>
      </c>
      <c r="C15" s="15" t="s">
        <v>782</v>
      </c>
      <c r="D15" s="15" t="n">
        <v>2026</v>
      </c>
      <c r="E15" s="15" t="s">
        <v>783</v>
      </c>
      <c r="F15" s="15" t="s">
        <v>774</v>
      </c>
      <c r="G15" s="15" t="s">
        <v>766</v>
      </c>
      <c r="H15" s="15" t="s">
        <v>784</v>
      </c>
      <c r="I15" s="15" t="s">
        <v>510</v>
      </c>
    </row>
    <row r="16" customFormat="false" ht="30" hidden="false" customHeight="true" outlineLevel="0" collapsed="false">
      <c r="A16" s="15" t="s">
        <v>785</v>
      </c>
      <c r="B16" s="15" t="s">
        <v>786</v>
      </c>
      <c r="C16" s="15" t="s">
        <v>787</v>
      </c>
      <c r="D16" s="15" t="n">
        <v>2026</v>
      </c>
      <c r="E16" s="15" t="s">
        <v>788</v>
      </c>
      <c r="F16" s="15" t="s">
        <v>774</v>
      </c>
      <c r="G16" s="15" t="s">
        <v>766</v>
      </c>
      <c r="H16" s="15" t="s">
        <v>789</v>
      </c>
      <c r="I16" s="15" t="s">
        <v>510</v>
      </c>
    </row>
    <row r="17" customFormat="false" ht="30" hidden="false" customHeight="true" outlineLevel="0" collapsed="false">
      <c r="A17" s="15" t="s">
        <v>790</v>
      </c>
      <c r="B17" s="15" t="s">
        <v>791</v>
      </c>
      <c r="C17" s="15" t="s">
        <v>792</v>
      </c>
      <c r="D17" s="15" t="s">
        <v>772</v>
      </c>
      <c r="E17" s="15" t="s">
        <v>793</v>
      </c>
      <c r="F17" s="15" t="s">
        <v>723</v>
      </c>
      <c r="G17" s="15"/>
      <c r="H17" s="15" t="s">
        <v>794</v>
      </c>
      <c r="I17" s="15" t="s">
        <v>214</v>
      </c>
    </row>
    <row r="18" customFormat="false" ht="30" hidden="false" customHeight="true" outlineLevel="0" collapsed="false">
      <c r="A18" s="15" t="s">
        <v>795</v>
      </c>
      <c r="B18" s="15" t="s">
        <v>796</v>
      </c>
      <c r="C18" s="15" t="s">
        <v>797</v>
      </c>
      <c r="D18" s="15" t="s">
        <v>772</v>
      </c>
      <c r="E18" s="15" t="s">
        <v>798</v>
      </c>
      <c r="F18" s="15" t="s">
        <v>723</v>
      </c>
      <c r="G18" s="15"/>
      <c r="H18" s="15" t="s">
        <v>799</v>
      </c>
      <c r="I18" s="15" t="s">
        <v>214</v>
      </c>
    </row>
    <row r="19" customFormat="false" ht="30" hidden="false" customHeight="true" outlineLevel="0" collapsed="false">
      <c r="A19" s="15" t="s">
        <v>800</v>
      </c>
      <c r="B19" s="15" t="s">
        <v>801</v>
      </c>
      <c r="C19" s="15" t="s">
        <v>802</v>
      </c>
      <c r="D19" s="15" t="n">
        <v>2023</v>
      </c>
      <c r="E19" s="15" t="s">
        <v>803</v>
      </c>
      <c r="F19" s="15" t="s">
        <v>804</v>
      </c>
      <c r="G19" s="15" t="s">
        <v>802</v>
      </c>
      <c r="H19" s="15" t="s">
        <v>805</v>
      </c>
      <c r="I19" s="15" t="s">
        <v>430</v>
      </c>
    </row>
    <row r="20" customFormat="false" ht="30" hidden="false" customHeight="true" outlineLevel="0" collapsed="false">
      <c r="A20" s="15" t="s">
        <v>806</v>
      </c>
      <c r="B20" s="15" t="s">
        <v>807</v>
      </c>
      <c r="C20" s="15" t="s">
        <v>808</v>
      </c>
      <c r="D20" s="15" t="s">
        <v>809</v>
      </c>
      <c r="E20" s="15" t="s">
        <v>810</v>
      </c>
      <c r="F20" s="15" t="s">
        <v>723</v>
      </c>
      <c r="G20" s="15" t="s">
        <v>808</v>
      </c>
      <c r="H20" s="15" t="s">
        <v>811</v>
      </c>
      <c r="I20" s="15" t="s">
        <v>89</v>
      </c>
    </row>
    <row r="21" customFormat="false" ht="30" hidden="false" customHeight="true" outlineLevel="0" collapsed="false">
      <c r="A21" s="15" t="s">
        <v>812</v>
      </c>
      <c r="B21" s="15" t="s">
        <v>813</v>
      </c>
      <c r="C21" s="15" t="s">
        <v>814</v>
      </c>
      <c r="D21" s="15" t="s">
        <v>815</v>
      </c>
      <c r="E21" s="15" t="s">
        <v>816</v>
      </c>
      <c r="F21" s="15" t="s">
        <v>723</v>
      </c>
      <c r="G21" s="15"/>
      <c r="H21" s="15" t="s">
        <v>817</v>
      </c>
      <c r="I21" s="15" t="s">
        <v>89</v>
      </c>
    </row>
    <row r="22" customFormat="false" ht="30" hidden="false" customHeight="true" outlineLevel="0" collapsed="false">
      <c r="A22" s="15" t="s">
        <v>818</v>
      </c>
      <c r="B22" s="15" t="s">
        <v>819</v>
      </c>
      <c r="C22" s="15" t="s">
        <v>820</v>
      </c>
      <c r="D22" s="15" t="n">
        <v>2007</v>
      </c>
      <c r="E22" s="15" t="s">
        <v>821</v>
      </c>
      <c r="F22" s="15" t="s">
        <v>723</v>
      </c>
      <c r="G22" s="15" t="s">
        <v>758</v>
      </c>
      <c r="H22" s="15" t="s">
        <v>822</v>
      </c>
      <c r="I22" s="15" t="s">
        <v>155</v>
      </c>
    </row>
    <row r="23" customFormat="false" ht="30" hidden="false" customHeight="true" outlineLevel="0" collapsed="false">
      <c r="A23" s="15" t="s">
        <v>823</v>
      </c>
      <c r="B23" s="15" t="s">
        <v>824</v>
      </c>
      <c r="C23" s="15" t="s">
        <v>825</v>
      </c>
      <c r="D23" s="15" t="s">
        <v>772</v>
      </c>
      <c r="E23" s="15" t="s">
        <v>826</v>
      </c>
      <c r="F23" s="15" t="s">
        <v>723</v>
      </c>
      <c r="G23" s="15"/>
      <c r="H23" s="15" t="s">
        <v>827</v>
      </c>
      <c r="I23" s="15" t="s">
        <v>828</v>
      </c>
    </row>
    <row r="24" customFormat="false" ht="30" hidden="false" customHeight="true" outlineLevel="0" collapsed="false">
      <c r="A24" s="15" t="s">
        <v>829</v>
      </c>
      <c r="B24" s="15" t="s">
        <v>830</v>
      </c>
      <c r="C24" s="15" t="s">
        <v>831</v>
      </c>
      <c r="D24" s="15" t="s">
        <v>772</v>
      </c>
      <c r="E24" s="15" t="s">
        <v>832</v>
      </c>
      <c r="F24" s="15" t="s">
        <v>723</v>
      </c>
      <c r="G24" s="15" t="s">
        <v>833</v>
      </c>
      <c r="H24" s="15" t="s">
        <v>834</v>
      </c>
      <c r="I24" s="15" t="s">
        <v>635</v>
      </c>
    </row>
    <row r="25" customFormat="false" ht="30" hidden="false" customHeight="true" outlineLevel="0" collapsed="false">
      <c r="A25" s="15" t="s">
        <v>835</v>
      </c>
      <c r="B25" s="15" t="s">
        <v>836</v>
      </c>
      <c r="C25" s="15" t="s">
        <v>837</v>
      </c>
      <c r="D25" s="15" t="s">
        <v>838</v>
      </c>
      <c r="E25" s="15" t="s">
        <v>839</v>
      </c>
      <c r="F25" s="15" t="s">
        <v>840</v>
      </c>
      <c r="G25" s="15"/>
      <c r="H25" s="15" t="s">
        <v>841</v>
      </c>
      <c r="I25" s="15" t="s">
        <v>544</v>
      </c>
    </row>
  </sheetData>
  <autoFilter ref="A4:I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5" t="s">
        <v>842</v>
      </c>
    </row>
    <row r="2" customFormat="false" ht="15" hidden="false" customHeight="false" outlineLevel="0" collapsed="false">
      <c r="A2" s="6" t="s">
        <v>843</v>
      </c>
    </row>
    <row r="4" customFormat="false" ht="30" hidden="false" customHeight="true" outlineLevel="0" collapsed="false">
      <c r="A4" s="13" t="s">
        <v>844</v>
      </c>
      <c r="B4" s="13" t="s">
        <v>845</v>
      </c>
      <c r="C4" s="13" t="s">
        <v>846</v>
      </c>
      <c r="D4" s="13" t="s">
        <v>847</v>
      </c>
      <c r="E4" s="13" t="s">
        <v>848</v>
      </c>
      <c r="F4" s="13" t="s">
        <v>849</v>
      </c>
      <c r="G4" s="13" t="s">
        <v>850</v>
      </c>
      <c r="H4" s="13" t="s">
        <v>851</v>
      </c>
    </row>
    <row r="5" customFormat="false" ht="27.75" hidden="false" customHeight="true" outlineLevel="0" collapsed="false">
      <c r="A5" s="15" t="s">
        <v>121</v>
      </c>
      <c r="B5" s="15" t="s">
        <v>852</v>
      </c>
      <c r="C5" s="15" t="s">
        <v>853</v>
      </c>
      <c r="D5" s="15" t="s">
        <v>854</v>
      </c>
      <c r="E5" s="15" t="s">
        <v>855</v>
      </c>
      <c r="F5" s="8" t="n">
        <f aca="false">COUNTIF('Critical Writing'!$B$5:$B$500,"*"&amp;B5&amp;"*")</f>
        <v>21</v>
      </c>
      <c r="G5" s="8" t="n">
        <f aca="false">IF(F5=0,"",_xlfn.MINIFS('Critical Writing'!$C$5:$C$500,'Critical Writing'!$B$5:$B$500,"*"&amp;B5&amp;"*"))</f>
        <v>2018</v>
      </c>
      <c r="H5" s="8" t="n">
        <f aca="false">IF(F5=0,"",_xlfn.MAXIFS('Critical Writing'!$C$5:$C$500,'Critical Writing'!$B$5:$B$500,"*"&amp;B5&amp;"*"))</f>
        <v>2026</v>
      </c>
    </row>
    <row r="6" customFormat="false" ht="27.75" hidden="false" customHeight="true" outlineLevel="0" collapsed="false">
      <c r="A6" s="15" t="s">
        <v>856</v>
      </c>
      <c r="B6" s="15" t="s">
        <v>857</v>
      </c>
      <c r="C6" s="15" t="s">
        <v>858</v>
      </c>
      <c r="D6" s="15" t="s">
        <v>859</v>
      </c>
      <c r="E6" s="15" t="s">
        <v>860</v>
      </c>
      <c r="F6" s="8" t="n">
        <f aca="false">COUNTIF('Critical Writing'!$B$5:$B$500,"*"&amp;B6&amp;"*")</f>
        <v>9</v>
      </c>
      <c r="G6" s="8" t="n">
        <f aca="false">IF(F6=0,"",_xlfn.MINIFS('Critical Writing'!$C$5:$C$500,'Critical Writing'!$B$5:$B$500,"*"&amp;B6&amp;"*"))</f>
        <v>2022</v>
      </c>
      <c r="H6" s="8" t="n">
        <f aca="false">IF(F6=0,"",_xlfn.MAXIFS('Critical Writing'!$C$5:$C$500,'Critical Writing'!$B$5:$B$500,"*"&amp;B6&amp;"*"))</f>
        <v>2026</v>
      </c>
    </row>
    <row r="7" customFormat="false" ht="27.75" hidden="false" customHeight="true" outlineLevel="0" collapsed="false">
      <c r="A7" s="15" t="s">
        <v>861</v>
      </c>
      <c r="B7" s="15" t="s">
        <v>862</v>
      </c>
      <c r="C7" s="15" t="s">
        <v>863</v>
      </c>
      <c r="D7" s="15" t="s">
        <v>864</v>
      </c>
      <c r="E7" s="15" t="s">
        <v>865</v>
      </c>
      <c r="F7" s="8" t="n">
        <f aca="false">COUNTIF('Critical Writing'!$B$5:$B$500,"*"&amp;B7&amp;"*")</f>
        <v>1</v>
      </c>
      <c r="G7" s="8" t="n">
        <f aca="false">IF(F7=0,"",_xlfn.MINIFS('Critical Writing'!$C$5:$C$500,'Critical Writing'!$B$5:$B$500,"*"&amp;B7&amp;"*"))</f>
        <v>2025</v>
      </c>
      <c r="H7" s="8" t="n">
        <f aca="false">IF(F7=0,"",_xlfn.MAXIFS('Critical Writing'!$C$5:$C$500,'Critical Writing'!$B$5:$B$500,"*"&amp;B7&amp;"*"))</f>
        <v>2025</v>
      </c>
    </row>
    <row r="8" customFormat="false" ht="27.75" hidden="false" customHeight="true" outlineLevel="0" collapsed="false">
      <c r="A8" s="15" t="s">
        <v>866</v>
      </c>
      <c r="B8" s="15" t="s">
        <v>270</v>
      </c>
      <c r="C8" s="15" t="s">
        <v>867</v>
      </c>
      <c r="D8" s="15"/>
      <c r="E8" s="15" t="s">
        <v>868</v>
      </c>
      <c r="F8" s="8" t="n">
        <f aca="false">COUNTIF('Critical Writing'!$B$5:$B$500,"*"&amp;B8&amp;"*")</f>
        <v>4</v>
      </c>
      <c r="G8" s="8" t="n">
        <f aca="false">IF(F8=0,"",_xlfn.MINIFS('Critical Writing'!$C$5:$C$500,'Critical Writing'!$B$5:$B$500,"*"&amp;B8&amp;"*"))</f>
        <v>2022</v>
      </c>
      <c r="H8" s="8" t="n">
        <f aca="false">IF(F8=0,"",_xlfn.MAXIFS('Critical Writing'!$C$5:$C$500,'Critical Writing'!$B$5:$B$500,"*"&amp;B8&amp;"*"))</f>
        <v>2026</v>
      </c>
    </row>
    <row r="9" customFormat="false" ht="27.75" hidden="false" customHeight="true" outlineLevel="0" collapsed="false">
      <c r="A9" s="15" t="s">
        <v>763</v>
      </c>
      <c r="B9" s="15" t="s">
        <v>869</v>
      </c>
      <c r="C9" s="15" t="s">
        <v>870</v>
      </c>
      <c r="D9" s="15"/>
      <c r="E9" s="15" t="s">
        <v>871</v>
      </c>
      <c r="F9" s="8" t="n">
        <f aca="false">COUNTIF('Critical Writing'!$B$5:$B$500,"*"&amp;B9&amp;"*")</f>
        <v>3</v>
      </c>
      <c r="G9" s="8" t="n">
        <f aca="false">IF(F9=0,"",_xlfn.MINIFS('Critical Writing'!$C$5:$C$500,'Critical Writing'!$B$5:$B$500,"*"&amp;B9&amp;"*"))</f>
        <v>2025</v>
      </c>
      <c r="H9" s="8" t="n">
        <f aca="false">IF(F9=0,"",_xlfn.MAXIFS('Critical Writing'!$C$5:$C$500,'Critical Writing'!$B$5:$B$500,"*"&amp;B9&amp;"*"))</f>
        <v>2025</v>
      </c>
    </row>
    <row r="10" customFormat="false" ht="27.75" hidden="false" customHeight="true" outlineLevel="0" collapsed="false">
      <c r="A10" s="15" t="s">
        <v>777</v>
      </c>
      <c r="B10" s="15" t="s">
        <v>494</v>
      </c>
      <c r="C10" s="15" t="s">
        <v>872</v>
      </c>
      <c r="D10" s="15"/>
      <c r="E10" s="15" t="s">
        <v>873</v>
      </c>
      <c r="F10" s="8" t="n">
        <f aca="false">COUNTIF('Critical Writing'!$B$5:$B$500,"*"&amp;B10&amp;"*")</f>
        <v>12</v>
      </c>
      <c r="G10" s="8" t="n">
        <f aca="false">IF(F10=0,"",_xlfn.MINIFS('Critical Writing'!$C$5:$C$500,'Critical Writing'!$B$5:$B$500,"*"&amp;B10&amp;"*"))</f>
        <v>2025</v>
      </c>
      <c r="H10" s="8" t="n">
        <f aca="false">IF(F10=0,"",_xlfn.MAXIFS('Critical Writing'!$C$5:$C$500,'Critical Writing'!$B$5:$B$500,"*"&amp;B10&amp;"*"))</f>
        <v>2026</v>
      </c>
    </row>
    <row r="11" customFormat="false" ht="27.75" hidden="false" customHeight="true" outlineLevel="0" collapsed="false">
      <c r="A11" s="15" t="s">
        <v>874</v>
      </c>
      <c r="B11" s="15" t="s">
        <v>875</v>
      </c>
      <c r="C11" s="15" t="s">
        <v>876</v>
      </c>
      <c r="D11" s="15"/>
      <c r="E11" s="15" t="s">
        <v>877</v>
      </c>
      <c r="F11" s="8" t="n">
        <f aca="false">COUNTIF('Critical Writing'!$B$5:$B$500,"*"&amp;B11&amp;"*")</f>
        <v>1</v>
      </c>
      <c r="G11" s="8" t="n">
        <f aca="false">IF(F11=0,"",_xlfn.MINIFS('Critical Writing'!$C$5:$C$500,'Critical Writing'!$B$5:$B$500,"*"&amp;B11&amp;"*"))</f>
        <v>2017</v>
      </c>
      <c r="H11" s="8" t="n">
        <f aca="false">IF(F11=0,"",_xlfn.MAXIFS('Critical Writing'!$C$5:$C$500,'Critical Writing'!$B$5:$B$500,"*"&amp;B11&amp;"*"))</f>
        <v>2017</v>
      </c>
    </row>
    <row r="12" customFormat="false" ht="27.75" hidden="false" customHeight="true" outlineLevel="0" collapsed="false">
      <c r="A12" s="15" t="s">
        <v>878</v>
      </c>
      <c r="B12" s="15" t="s">
        <v>355</v>
      </c>
      <c r="C12" s="15" t="s">
        <v>879</v>
      </c>
      <c r="D12" s="15"/>
      <c r="E12" s="15" t="s">
        <v>865</v>
      </c>
      <c r="F12" s="8" t="n">
        <f aca="false">COUNTIF('Critical Writing'!$B$5:$B$500,"*"&amp;B12&amp;"*")</f>
        <v>2</v>
      </c>
      <c r="G12" s="8" t="n">
        <f aca="false">IF(F12=0,"",_xlfn.MINIFS('Critical Writing'!$C$5:$C$500,'Critical Writing'!$B$5:$B$500,"*"&amp;B12&amp;"*"))</f>
        <v>2024</v>
      </c>
      <c r="H12" s="8" t="n">
        <f aca="false">IF(F12=0,"",_xlfn.MAXIFS('Critical Writing'!$C$5:$C$500,'Critical Writing'!$B$5:$B$500,"*"&amp;B12&amp;"*"))</f>
        <v>2026</v>
      </c>
    </row>
    <row r="13" customFormat="false" ht="27.75" hidden="false" customHeight="true" outlineLevel="0" collapsed="false">
      <c r="A13" s="15" t="s">
        <v>880</v>
      </c>
      <c r="B13" s="15" t="s">
        <v>881</v>
      </c>
      <c r="C13" s="15" t="s">
        <v>882</v>
      </c>
      <c r="D13" s="15"/>
      <c r="E13" s="15" t="s">
        <v>883</v>
      </c>
      <c r="F13" s="8" t="n">
        <f aca="false">COUNTIF('Critical Writing'!$B$5:$B$500,"*"&amp;B13&amp;"*")</f>
        <v>2</v>
      </c>
      <c r="G13" s="8" t="n">
        <f aca="false">IF(F13=0,"",_xlfn.MINIFS('Critical Writing'!$C$5:$C$500,'Critical Writing'!$B$5:$B$500,"*"&amp;B13&amp;"*"))</f>
        <v>2025</v>
      </c>
      <c r="H13" s="8" t="n">
        <f aca="false">IF(F13=0,"",_xlfn.MAXIFS('Critical Writing'!$C$5:$C$500,'Critical Writing'!$B$5:$B$500,"*"&amp;B13&amp;"*"))</f>
        <v>2026</v>
      </c>
    </row>
    <row r="14" customFormat="false" ht="27.75" hidden="false" customHeight="true" outlineLevel="0" collapsed="false">
      <c r="A14" s="15" t="s">
        <v>884</v>
      </c>
      <c r="B14" s="15" t="s">
        <v>885</v>
      </c>
      <c r="C14" s="15" t="s">
        <v>886</v>
      </c>
      <c r="D14" s="15" t="s">
        <v>887</v>
      </c>
      <c r="E14" s="15" t="s">
        <v>888</v>
      </c>
      <c r="F14" s="8" t="n">
        <f aca="false">COUNTIF('Critical Writing'!$B$5:$B$500,"*"&amp;B14&amp;"*")</f>
        <v>11</v>
      </c>
      <c r="G14" s="8" t="n">
        <f aca="false">IF(F14=0,"",_xlfn.MINIFS('Critical Writing'!$C$5:$C$500,'Critical Writing'!$B$5:$B$500,"*"&amp;B14&amp;"*"))</f>
        <v>2018</v>
      </c>
      <c r="H14" s="8" t="n">
        <f aca="false">IF(F14=0,"",_xlfn.MAXIFS('Critical Writing'!$C$5:$C$500,'Critical Writing'!$B$5:$B$500,"*"&amp;B14&amp;"*"))</f>
        <v>2026</v>
      </c>
    </row>
    <row r="15" customFormat="false" ht="27.75" hidden="false" customHeight="true" outlineLevel="0" collapsed="false">
      <c r="A15" s="15" t="s">
        <v>889</v>
      </c>
      <c r="B15" s="15" t="s">
        <v>890</v>
      </c>
      <c r="C15" s="15" t="s">
        <v>891</v>
      </c>
      <c r="D15" s="15"/>
      <c r="E15" s="15" t="s">
        <v>892</v>
      </c>
      <c r="F15" s="8" t="n">
        <f aca="false">COUNTIF('Critical Writing'!$B$5:$B$500,"*"&amp;B15&amp;"*")</f>
        <v>1</v>
      </c>
      <c r="G15" s="8" t="n">
        <f aca="false">IF(F15=0,"",_xlfn.MINIFS('Critical Writing'!$C$5:$C$500,'Critical Writing'!$B$5:$B$500,"*"&amp;B15&amp;"*"))</f>
        <v>2025</v>
      </c>
      <c r="H15" s="8" t="n">
        <f aca="false">IF(F15=0,"",_xlfn.MAXIFS('Critical Writing'!$C$5:$C$500,'Critical Writing'!$B$5:$B$500,"*"&amp;B15&amp;"*"))</f>
        <v>2025</v>
      </c>
    </row>
    <row r="16" customFormat="false" ht="27.75" hidden="false" customHeight="true" outlineLevel="0" collapsed="false">
      <c r="A16" s="15" t="s">
        <v>893</v>
      </c>
      <c r="B16" s="15" t="s">
        <v>894</v>
      </c>
      <c r="C16" s="15" t="s">
        <v>895</v>
      </c>
      <c r="D16" s="15"/>
      <c r="E16" s="15" t="s">
        <v>892</v>
      </c>
      <c r="F16" s="8" t="n">
        <f aca="false">COUNTIF('Critical Writing'!$B$5:$B$500,"*"&amp;B16&amp;"*")</f>
        <v>1</v>
      </c>
      <c r="G16" s="8" t="n">
        <f aca="false">IF(F16=0,"",_xlfn.MINIFS('Critical Writing'!$C$5:$C$500,'Critical Writing'!$B$5:$B$500,"*"&amp;B16&amp;"*"))</f>
        <v>2025</v>
      </c>
      <c r="H16" s="8" t="n">
        <f aca="false">IF(F16=0,"",_xlfn.MAXIFS('Critical Writing'!$C$5:$C$500,'Critical Writing'!$B$5:$B$500,"*"&amp;B16&amp;"*"))</f>
        <v>2025</v>
      </c>
    </row>
    <row r="17" customFormat="false" ht="27.75" hidden="false" customHeight="true" outlineLevel="0" collapsed="false">
      <c r="A17" s="15" t="s">
        <v>896</v>
      </c>
      <c r="B17" s="15" t="s">
        <v>897</v>
      </c>
      <c r="C17" s="15" t="s">
        <v>898</v>
      </c>
      <c r="D17" s="15" t="s">
        <v>899</v>
      </c>
      <c r="E17" s="15" t="s">
        <v>892</v>
      </c>
      <c r="F17" s="8" t="n">
        <f aca="false">COUNTIF('Critical Writing'!$B$5:$B$500,"*"&amp;B17&amp;"*")</f>
        <v>1</v>
      </c>
      <c r="G17" s="8" t="n">
        <f aca="false">IF(F17=0,"",_xlfn.MINIFS('Critical Writing'!$C$5:$C$500,'Critical Writing'!$B$5:$B$500,"*"&amp;B17&amp;"*"))</f>
        <v>2026</v>
      </c>
      <c r="H17" s="8" t="n">
        <f aca="false">IF(F17=0,"",_xlfn.MAXIFS('Critical Writing'!$C$5:$C$500,'Critical Writing'!$B$5:$B$500,"*"&amp;B17&amp;"*"))</f>
        <v>2026</v>
      </c>
    </row>
    <row r="18" customFormat="false" ht="27.75" hidden="false" customHeight="true" outlineLevel="0" collapsed="false">
      <c r="A18" s="15" t="s">
        <v>900</v>
      </c>
      <c r="B18" s="15" t="s">
        <v>901</v>
      </c>
      <c r="C18" s="15" t="s">
        <v>902</v>
      </c>
      <c r="D18" s="15"/>
      <c r="E18" s="15" t="s">
        <v>892</v>
      </c>
      <c r="F18" s="8" t="n">
        <f aca="false">COUNTIF('Critical Writing'!$B$5:$B$500,"*"&amp;B18&amp;"*")</f>
        <v>1</v>
      </c>
      <c r="G18" s="8" t="n">
        <f aca="false">IF(F18=0,"",_xlfn.MINIFS('Critical Writing'!$C$5:$C$500,'Critical Writing'!$B$5:$B$500,"*"&amp;B18&amp;"*"))</f>
        <v>2025</v>
      </c>
      <c r="H18" s="8" t="n">
        <f aca="false">IF(F18=0,"",_xlfn.MAXIFS('Critical Writing'!$C$5:$C$500,'Critical Writing'!$B$5:$B$500,"*"&amp;B18&amp;"*"))</f>
        <v>2025</v>
      </c>
    </row>
    <row r="19" customFormat="false" ht="27.75" hidden="false" customHeight="true" outlineLevel="0" collapsed="false">
      <c r="A19" s="15" t="s">
        <v>903</v>
      </c>
      <c r="B19" s="15" t="s">
        <v>904</v>
      </c>
      <c r="C19" s="15" t="s">
        <v>905</v>
      </c>
      <c r="D19" s="15" t="s">
        <v>906</v>
      </c>
      <c r="E19" s="15" t="s">
        <v>907</v>
      </c>
      <c r="F19" s="8" t="n">
        <f aca="false">COUNTIF('Critical Writing'!$B$5:$B$500,"*"&amp;B19&amp;"*")</f>
        <v>2</v>
      </c>
      <c r="G19" s="8" t="n">
        <f aca="false">IF(F19=0,"",_xlfn.MINIFS('Critical Writing'!$C$5:$C$500,'Critical Writing'!$B$5:$B$500,"*"&amp;B19&amp;"*"))</f>
        <v>2022</v>
      </c>
      <c r="H19" s="8" t="n">
        <f aca="false">IF(F19=0,"",_xlfn.MAXIFS('Critical Writing'!$C$5:$C$500,'Critical Writing'!$B$5:$B$500,"*"&amp;B19&amp;"*"))</f>
        <v>2026</v>
      </c>
    </row>
    <row r="20" customFormat="false" ht="27.75" hidden="false" customHeight="true" outlineLevel="0" collapsed="false">
      <c r="A20" s="15" t="s">
        <v>908</v>
      </c>
      <c r="B20" s="15" t="s">
        <v>909</v>
      </c>
      <c r="C20" s="15" t="s">
        <v>910</v>
      </c>
      <c r="D20" s="15" t="s">
        <v>911</v>
      </c>
      <c r="E20" s="15" t="s">
        <v>912</v>
      </c>
      <c r="F20" s="8" t="n">
        <f aca="false">COUNTIF('Critical Writing'!$B$5:$B$500,"*"&amp;B20&amp;"*")</f>
        <v>2</v>
      </c>
      <c r="G20" s="8" t="n">
        <f aca="false">IF(F20=0,"",_xlfn.MINIFS('Critical Writing'!$C$5:$C$500,'Critical Writing'!$B$5:$B$500,"*"&amp;B20&amp;"*"))</f>
        <v>2023</v>
      </c>
      <c r="H20" s="8" t="n">
        <f aca="false">IF(F20=0,"",_xlfn.MAXIFS('Critical Writing'!$C$5:$C$500,'Critical Writing'!$B$5:$B$500,"*"&amp;B20&amp;"*"))</f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80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5" t="s">
        <v>913</v>
      </c>
    </row>
    <row r="2" customFormat="false" ht="15" hidden="false" customHeight="false" outlineLevel="0" collapsed="false">
      <c r="A2" s="6" t="s">
        <v>914</v>
      </c>
    </row>
    <row r="4" customFormat="false" ht="30" hidden="false" customHeight="true" outlineLevel="0" collapsed="false">
      <c r="A4" s="13" t="s">
        <v>844</v>
      </c>
      <c r="B4" s="13" t="s">
        <v>915</v>
      </c>
      <c r="C4" s="13" t="s">
        <v>916</v>
      </c>
      <c r="D4" s="13" t="s">
        <v>917</v>
      </c>
      <c r="E4" s="13" t="s">
        <v>918</v>
      </c>
      <c r="F4" s="13" t="s">
        <v>919</v>
      </c>
    </row>
    <row r="5" customFormat="false" ht="30" hidden="false" customHeight="true" outlineLevel="0" collapsed="false">
      <c r="A5" s="15" t="s">
        <v>486</v>
      </c>
      <c r="B5" s="15" t="s">
        <v>920</v>
      </c>
      <c r="C5" s="15" t="s">
        <v>921</v>
      </c>
      <c r="D5" s="15" t="s">
        <v>922</v>
      </c>
      <c r="E5" s="15" t="s">
        <v>923</v>
      </c>
      <c r="F5" s="15" t="s">
        <v>24</v>
      </c>
    </row>
    <row r="6" customFormat="false" ht="30" hidden="false" customHeight="true" outlineLevel="0" collapsed="false">
      <c r="A6" s="15" t="s">
        <v>486</v>
      </c>
      <c r="B6" s="15" t="s">
        <v>920</v>
      </c>
      <c r="C6" s="15" t="s">
        <v>924</v>
      </c>
      <c r="D6" s="15" t="s">
        <v>636</v>
      </c>
      <c r="E6" s="15" t="s">
        <v>925</v>
      </c>
      <c r="F6" s="15" t="s">
        <v>24</v>
      </c>
    </row>
    <row r="7" customFormat="false" ht="30" hidden="false" customHeight="true" outlineLevel="0" collapsed="false">
      <c r="A7" s="15" t="s">
        <v>486</v>
      </c>
      <c r="B7" s="15" t="s">
        <v>531</v>
      </c>
      <c r="C7" s="15" t="s">
        <v>926</v>
      </c>
      <c r="D7" s="15" t="s">
        <v>927</v>
      </c>
      <c r="E7" s="15" t="s">
        <v>928</v>
      </c>
      <c r="F7" s="15" t="s">
        <v>24</v>
      </c>
    </row>
    <row r="8" customFormat="false" ht="30" hidden="false" customHeight="true" outlineLevel="0" collapsed="false">
      <c r="A8" s="15" t="s">
        <v>486</v>
      </c>
      <c r="B8" s="15" t="s">
        <v>531</v>
      </c>
      <c r="C8" s="15" t="s">
        <v>929</v>
      </c>
      <c r="D8" s="15" t="s">
        <v>930</v>
      </c>
      <c r="E8" s="15" t="s">
        <v>931</v>
      </c>
      <c r="F8" s="15" t="s">
        <v>24</v>
      </c>
    </row>
    <row r="9" customFormat="false" ht="30" hidden="false" customHeight="true" outlineLevel="0" collapsed="false">
      <c r="A9" s="15" t="s">
        <v>486</v>
      </c>
      <c r="B9" s="15" t="s">
        <v>531</v>
      </c>
      <c r="C9" s="15" t="s">
        <v>932</v>
      </c>
      <c r="D9" s="15" t="s">
        <v>636</v>
      </c>
      <c r="E9" s="15" t="s">
        <v>933</v>
      </c>
      <c r="F9" s="15" t="s">
        <v>24</v>
      </c>
    </row>
    <row r="10" customFormat="false" ht="30" hidden="false" customHeight="true" outlineLevel="0" collapsed="false">
      <c r="A10" s="15" t="s">
        <v>486</v>
      </c>
      <c r="B10" s="15" t="s">
        <v>934</v>
      </c>
      <c r="C10" s="15" t="s">
        <v>935</v>
      </c>
      <c r="D10" s="15" t="s">
        <v>636</v>
      </c>
      <c r="E10" s="15" t="s">
        <v>936</v>
      </c>
      <c r="F10" s="15" t="s">
        <v>24</v>
      </c>
    </row>
    <row r="11" customFormat="false" ht="30" hidden="false" customHeight="true" outlineLevel="0" collapsed="false">
      <c r="A11" s="15" t="s">
        <v>486</v>
      </c>
      <c r="B11" s="15" t="s">
        <v>937</v>
      </c>
      <c r="C11" s="15" t="s">
        <v>938</v>
      </c>
      <c r="D11" s="15" t="s">
        <v>487</v>
      </c>
      <c r="E11" s="15" t="s">
        <v>939</v>
      </c>
      <c r="F11" s="15" t="s">
        <v>24</v>
      </c>
    </row>
    <row r="12" customFormat="false" ht="30" hidden="false" customHeight="true" outlineLevel="0" collapsed="false">
      <c r="A12" s="15" t="s">
        <v>486</v>
      </c>
      <c r="B12" s="15" t="s">
        <v>940</v>
      </c>
      <c r="C12" s="15" t="s">
        <v>941</v>
      </c>
      <c r="D12" s="15" t="s">
        <v>557</v>
      </c>
      <c r="E12" s="15" t="s">
        <v>942</v>
      </c>
      <c r="F12" s="15" t="s">
        <v>24</v>
      </c>
    </row>
    <row r="13" customFormat="false" ht="30" hidden="false" customHeight="true" outlineLevel="0" collapsed="false">
      <c r="A13" s="15" t="s">
        <v>486</v>
      </c>
      <c r="B13" s="15" t="s">
        <v>940</v>
      </c>
      <c r="C13" s="15" t="s">
        <v>943</v>
      </c>
      <c r="D13" s="15" t="s">
        <v>944</v>
      </c>
      <c r="E13" s="15" t="s">
        <v>945</v>
      </c>
      <c r="F13" s="15" t="s">
        <v>946</v>
      </c>
    </row>
    <row r="14" customFormat="false" ht="30" hidden="false" customHeight="true" outlineLevel="0" collapsed="false">
      <c r="A14" s="15" t="s">
        <v>486</v>
      </c>
      <c r="B14" s="15" t="s">
        <v>947</v>
      </c>
      <c r="C14" s="15" t="s">
        <v>948</v>
      </c>
      <c r="D14" s="15" t="s">
        <v>636</v>
      </c>
      <c r="E14" s="15" t="s">
        <v>949</v>
      </c>
      <c r="F14" s="15" t="s">
        <v>24</v>
      </c>
    </row>
    <row r="15" customFormat="false" ht="30" hidden="false" customHeight="true" outlineLevel="0" collapsed="false">
      <c r="A15" s="15" t="s">
        <v>238</v>
      </c>
      <c r="B15" s="15" t="s">
        <v>531</v>
      </c>
      <c r="C15" s="15" t="s">
        <v>950</v>
      </c>
      <c r="D15" s="15" t="s">
        <v>636</v>
      </c>
      <c r="E15" s="15" t="s">
        <v>951</v>
      </c>
      <c r="F15" s="15" t="s">
        <v>24</v>
      </c>
    </row>
    <row r="16" customFormat="false" ht="30" hidden="false" customHeight="true" outlineLevel="0" collapsed="false">
      <c r="A16" s="15" t="s">
        <v>238</v>
      </c>
      <c r="B16" s="15" t="s">
        <v>531</v>
      </c>
      <c r="C16" s="15" t="s">
        <v>952</v>
      </c>
      <c r="D16" s="15" t="s">
        <v>953</v>
      </c>
      <c r="E16" s="15" t="s">
        <v>954</v>
      </c>
      <c r="F16" s="15" t="s">
        <v>24</v>
      </c>
    </row>
    <row r="17" customFormat="false" ht="30" hidden="false" customHeight="true" outlineLevel="0" collapsed="false">
      <c r="A17" s="15" t="s">
        <v>238</v>
      </c>
      <c r="B17" s="15" t="s">
        <v>920</v>
      </c>
      <c r="C17" s="15" t="s">
        <v>955</v>
      </c>
      <c r="D17" s="15" t="s">
        <v>944</v>
      </c>
      <c r="E17" s="15" t="s">
        <v>956</v>
      </c>
      <c r="F17" s="15" t="s">
        <v>24</v>
      </c>
    </row>
    <row r="18" customFormat="false" ht="30" hidden="false" customHeight="true" outlineLevel="0" collapsed="false">
      <c r="A18" s="15" t="s">
        <v>238</v>
      </c>
      <c r="B18" s="15" t="s">
        <v>957</v>
      </c>
      <c r="C18" s="15" t="s">
        <v>958</v>
      </c>
      <c r="D18" s="15" t="s">
        <v>959</v>
      </c>
      <c r="E18" s="15" t="s">
        <v>960</v>
      </c>
      <c r="F18" s="15" t="s">
        <v>24</v>
      </c>
    </row>
    <row r="19" customFormat="false" ht="30" hidden="false" customHeight="true" outlineLevel="0" collapsed="false">
      <c r="A19" s="15" t="s">
        <v>238</v>
      </c>
      <c r="B19" s="15" t="s">
        <v>940</v>
      </c>
      <c r="C19" s="15" t="s">
        <v>961</v>
      </c>
      <c r="D19" s="15" t="s">
        <v>944</v>
      </c>
      <c r="E19" s="15" t="s">
        <v>945</v>
      </c>
      <c r="F19" s="15" t="s">
        <v>946</v>
      </c>
    </row>
    <row r="20" customFormat="false" ht="30" hidden="false" customHeight="true" outlineLevel="0" collapsed="false">
      <c r="A20" s="15" t="s">
        <v>415</v>
      </c>
      <c r="B20" s="15" t="s">
        <v>962</v>
      </c>
      <c r="C20" s="15" t="s">
        <v>963</v>
      </c>
      <c r="D20" s="15" t="s">
        <v>487</v>
      </c>
      <c r="E20" s="15" t="s">
        <v>964</v>
      </c>
      <c r="F20" s="15" t="s">
        <v>24</v>
      </c>
    </row>
    <row r="21" customFormat="false" ht="30" hidden="false" customHeight="true" outlineLevel="0" collapsed="false">
      <c r="A21" s="15" t="s">
        <v>415</v>
      </c>
      <c r="B21" s="15" t="s">
        <v>962</v>
      </c>
      <c r="C21" s="15" t="s">
        <v>965</v>
      </c>
      <c r="D21" s="15" t="s">
        <v>487</v>
      </c>
      <c r="E21" s="15" t="s">
        <v>966</v>
      </c>
      <c r="F21" s="15" t="s">
        <v>24</v>
      </c>
    </row>
    <row r="22" customFormat="false" ht="30" hidden="false" customHeight="true" outlineLevel="0" collapsed="false">
      <c r="A22" s="15" t="s">
        <v>415</v>
      </c>
      <c r="B22" s="15" t="s">
        <v>962</v>
      </c>
      <c r="C22" s="15" t="s">
        <v>967</v>
      </c>
      <c r="D22" s="15" t="s">
        <v>228</v>
      </c>
      <c r="E22" s="15" t="s">
        <v>968</v>
      </c>
      <c r="F22" s="15" t="s">
        <v>25</v>
      </c>
    </row>
    <row r="23" customFormat="false" ht="30" hidden="false" customHeight="true" outlineLevel="0" collapsed="false">
      <c r="A23" s="15" t="s">
        <v>415</v>
      </c>
      <c r="B23" s="15" t="s">
        <v>969</v>
      </c>
      <c r="C23" s="15" t="s">
        <v>970</v>
      </c>
      <c r="D23" s="15" t="s">
        <v>944</v>
      </c>
      <c r="E23" s="15" t="s">
        <v>971</v>
      </c>
      <c r="F23" s="15" t="s">
        <v>24</v>
      </c>
    </row>
    <row r="24" customFormat="false" ht="30" hidden="false" customHeight="true" outlineLevel="0" collapsed="false">
      <c r="A24" s="15" t="s">
        <v>270</v>
      </c>
      <c r="B24" s="15" t="s">
        <v>962</v>
      </c>
      <c r="C24" s="15" t="s">
        <v>972</v>
      </c>
      <c r="D24" s="15" t="s">
        <v>973</v>
      </c>
      <c r="E24" s="15" t="s">
        <v>974</v>
      </c>
      <c r="F24" s="15" t="s">
        <v>24</v>
      </c>
    </row>
    <row r="25" customFormat="false" ht="30" hidden="false" customHeight="true" outlineLevel="0" collapsed="false">
      <c r="A25" s="15" t="s">
        <v>270</v>
      </c>
      <c r="B25" s="15" t="s">
        <v>975</v>
      </c>
      <c r="C25" s="15" t="s">
        <v>976</v>
      </c>
      <c r="D25" s="15" t="s">
        <v>977</v>
      </c>
      <c r="E25" s="15" t="s">
        <v>978</v>
      </c>
      <c r="F25" s="15" t="s">
        <v>24</v>
      </c>
    </row>
    <row r="26" customFormat="false" ht="30" hidden="false" customHeight="true" outlineLevel="0" collapsed="false">
      <c r="A26" s="15" t="s">
        <v>270</v>
      </c>
      <c r="B26" s="15" t="s">
        <v>531</v>
      </c>
      <c r="C26" s="15" t="s">
        <v>979</v>
      </c>
      <c r="D26" s="15" t="s">
        <v>980</v>
      </c>
      <c r="E26" s="15" t="s">
        <v>936</v>
      </c>
      <c r="F26" s="15" t="s">
        <v>24</v>
      </c>
    </row>
    <row r="27" customFormat="false" ht="30" hidden="false" customHeight="true" outlineLevel="0" collapsed="false">
      <c r="A27" s="15" t="s">
        <v>981</v>
      </c>
      <c r="B27" s="15" t="s">
        <v>934</v>
      </c>
      <c r="C27" s="15" t="s">
        <v>982</v>
      </c>
      <c r="D27" s="15" t="s">
        <v>636</v>
      </c>
      <c r="E27" s="15" t="s">
        <v>936</v>
      </c>
      <c r="F27" s="15" t="s">
        <v>24</v>
      </c>
    </row>
    <row r="28" customFormat="false" ht="30" hidden="false" customHeight="true" outlineLevel="0" collapsed="false">
      <c r="A28" s="15" t="s">
        <v>981</v>
      </c>
      <c r="B28" s="15" t="s">
        <v>531</v>
      </c>
      <c r="C28" s="15" t="s">
        <v>983</v>
      </c>
      <c r="D28" s="15" t="s">
        <v>944</v>
      </c>
      <c r="E28" s="15" t="s">
        <v>345</v>
      </c>
      <c r="F28" s="15" t="s">
        <v>24</v>
      </c>
    </row>
    <row r="29" customFormat="false" ht="30" hidden="false" customHeight="true" outlineLevel="0" collapsed="false">
      <c r="A29" s="15" t="s">
        <v>981</v>
      </c>
      <c r="B29" s="15" t="s">
        <v>940</v>
      </c>
      <c r="C29" s="15" t="s">
        <v>984</v>
      </c>
      <c r="D29" s="15" t="s">
        <v>487</v>
      </c>
      <c r="E29" s="15" t="s">
        <v>985</v>
      </c>
      <c r="F29" s="15" t="s">
        <v>25</v>
      </c>
    </row>
    <row r="30" customFormat="false" ht="30" hidden="false" customHeight="true" outlineLevel="0" collapsed="false">
      <c r="A30" s="15" t="s">
        <v>355</v>
      </c>
      <c r="B30" s="15" t="s">
        <v>934</v>
      </c>
      <c r="C30" s="15" t="s">
        <v>986</v>
      </c>
      <c r="D30" s="15" t="s">
        <v>838</v>
      </c>
      <c r="E30" s="15" t="s">
        <v>987</v>
      </c>
      <c r="F30" s="15" t="s">
        <v>24</v>
      </c>
    </row>
    <row r="31" customFormat="false" ht="30" hidden="false" customHeight="true" outlineLevel="0" collapsed="false">
      <c r="A31" s="15" t="s">
        <v>355</v>
      </c>
      <c r="B31" s="15" t="s">
        <v>940</v>
      </c>
      <c r="C31" s="15" t="s">
        <v>988</v>
      </c>
      <c r="D31" s="15" t="s">
        <v>989</v>
      </c>
      <c r="E31" s="15" t="s">
        <v>990</v>
      </c>
      <c r="F31" s="15" t="s">
        <v>991</v>
      </c>
    </row>
    <row r="32" customFormat="false" ht="30" hidden="false" customHeight="true" outlineLevel="0" collapsed="false">
      <c r="A32" s="15" t="s">
        <v>470</v>
      </c>
      <c r="B32" s="15" t="s">
        <v>992</v>
      </c>
      <c r="C32" s="15" t="s">
        <v>993</v>
      </c>
      <c r="D32" s="15" t="s">
        <v>994</v>
      </c>
      <c r="E32" s="15" t="s">
        <v>995</v>
      </c>
      <c r="F32" s="15" t="s">
        <v>24</v>
      </c>
    </row>
    <row r="33" customFormat="false" ht="30" hidden="false" customHeight="true" outlineLevel="0" collapsed="false">
      <c r="A33" s="15" t="s">
        <v>470</v>
      </c>
      <c r="B33" s="15" t="s">
        <v>969</v>
      </c>
      <c r="C33" s="15" t="s">
        <v>996</v>
      </c>
      <c r="D33" s="15" t="s">
        <v>944</v>
      </c>
      <c r="E33" s="15" t="s">
        <v>933</v>
      </c>
      <c r="F33" s="15" t="s">
        <v>24</v>
      </c>
    </row>
  </sheetData>
  <autoFilter ref="A4:F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5" t="s">
        <v>997</v>
      </c>
    </row>
    <row r="2" customFormat="false" ht="15" hidden="false" customHeight="false" outlineLevel="0" collapsed="false">
      <c r="A2" s="6" t="s">
        <v>998</v>
      </c>
    </row>
    <row r="4" customFormat="false" ht="30" hidden="false" customHeight="true" outlineLevel="0" collapsed="false">
      <c r="A4" s="13" t="s">
        <v>999</v>
      </c>
      <c r="B4" s="13" t="s">
        <v>75</v>
      </c>
      <c r="C4" s="13" t="s">
        <v>1000</v>
      </c>
    </row>
    <row r="5" customFormat="false" ht="30" hidden="false" customHeight="true" outlineLevel="0" collapsed="false">
      <c r="A5" s="15" t="s">
        <v>1001</v>
      </c>
      <c r="B5" s="15" t="s">
        <v>1002</v>
      </c>
      <c r="C5" s="15" t="s">
        <v>1003</v>
      </c>
    </row>
    <row r="6" customFormat="false" ht="30" hidden="false" customHeight="true" outlineLevel="0" collapsed="false">
      <c r="A6" s="15" t="s">
        <v>1004</v>
      </c>
      <c r="B6" s="15" t="s">
        <v>1005</v>
      </c>
      <c r="C6" s="15" t="s">
        <v>1006</v>
      </c>
    </row>
    <row r="7" customFormat="false" ht="30" hidden="false" customHeight="true" outlineLevel="0" collapsed="false">
      <c r="A7" s="15" t="s">
        <v>1007</v>
      </c>
      <c r="B7" s="15" t="s">
        <v>1008</v>
      </c>
      <c r="C7" s="15" t="s">
        <v>1009</v>
      </c>
    </row>
    <row r="8" customFormat="false" ht="30" hidden="false" customHeight="true" outlineLevel="0" collapsed="false">
      <c r="A8" s="15" t="s">
        <v>1010</v>
      </c>
      <c r="B8" s="15" t="s">
        <v>1011</v>
      </c>
      <c r="C8" s="15" t="s">
        <v>1012</v>
      </c>
    </row>
    <row r="9" customFormat="false" ht="30" hidden="false" customHeight="true" outlineLevel="0" collapsed="false">
      <c r="A9" s="15" t="s">
        <v>1013</v>
      </c>
      <c r="B9" s="15" t="s">
        <v>1014</v>
      </c>
      <c r="C9" s="15" t="s">
        <v>1015</v>
      </c>
    </row>
    <row r="10" customFormat="false" ht="30" hidden="false" customHeight="true" outlineLevel="0" collapsed="false">
      <c r="A10" s="15" t="s">
        <v>1016</v>
      </c>
      <c r="B10" s="15" t="s">
        <v>1017</v>
      </c>
      <c r="C10" s="15" t="s">
        <v>1018</v>
      </c>
    </row>
    <row r="11" customFormat="false" ht="30" hidden="false" customHeight="true" outlineLevel="0" collapsed="false">
      <c r="A11" s="15" t="s">
        <v>1019</v>
      </c>
      <c r="B11" s="15" t="s">
        <v>1020</v>
      </c>
      <c r="C11" s="15" t="s">
        <v>1021</v>
      </c>
    </row>
    <row r="12" customFormat="false" ht="30" hidden="false" customHeight="true" outlineLevel="0" collapsed="false">
      <c r="A12" s="15" t="s">
        <v>1022</v>
      </c>
      <c r="B12" s="15" t="s">
        <v>1023</v>
      </c>
      <c r="C12" s="15" t="s">
        <v>1024</v>
      </c>
    </row>
    <row r="13" customFormat="false" ht="30" hidden="false" customHeight="true" outlineLevel="0" collapsed="false">
      <c r="A13" s="15" t="s">
        <v>1025</v>
      </c>
      <c r="B13" s="15" t="s">
        <v>1026</v>
      </c>
      <c r="C13" s="15" t="s">
        <v>1027</v>
      </c>
    </row>
    <row r="14" customFormat="false" ht="30" hidden="false" customHeight="true" outlineLevel="0" collapsed="false">
      <c r="A14" s="15" t="s">
        <v>1028</v>
      </c>
      <c r="B14" s="15" t="s">
        <v>1029</v>
      </c>
      <c r="C14" s="15" t="s">
        <v>1030</v>
      </c>
    </row>
    <row r="15" customFormat="false" ht="30" hidden="false" customHeight="true" outlineLevel="0" collapsed="false">
      <c r="A15" s="15" t="s">
        <v>1031</v>
      </c>
      <c r="B15" s="15" t="s">
        <v>1032</v>
      </c>
      <c r="C15" s="15" t="s">
        <v>1033</v>
      </c>
    </row>
    <row r="16" customFormat="false" ht="30" hidden="false" customHeight="true" outlineLevel="0" collapsed="false">
      <c r="A16" s="15" t="s">
        <v>1034</v>
      </c>
      <c r="B16" s="15" t="s">
        <v>1035</v>
      </c>
      <c r="C16" s="15" t="s">
        <v>1036</v>
      </c>
    </row>
    <row r="17" customFormat="false" ht="30" hidden="false" customHeight="true" outlineLevel="0" collapsed="false">
      <c r="A17" s="15" t="s">
        <v>1037</v>
      </c>
      <c r="B17" s="15" t="s">
        <v>1038</v>
      </c>
      <c r="C17" s="15" t="s">
        <v>1039</v>
      </c>
    </row>
    <row r="18" customFormat="false" ht="30" hidden="false" customHeight="true" outlineLevel="0" collapsed="false">
      <c r="A18" s="15" t="s">
        <v>1040</v>
      </c>
      <c r="B18" s="15" t="s">
        <v>1041</v>
      </c>
      <c r="C18" s="15" t="s">
        <v>1042</v>
      </c>
    </row>
    <row r="19" customFormat="false" ht="30" hidden="false" customHeight="true" outlineLevel="0" collapsed="false">
      <c r="A19" s="15" t="s">
        <v>1043</v>
      </c>
      <c r="B19" s="15" t="s">
        <v>1044</v>
      </c>
      <c r="C19" s="15" t="s">
        <v>1045</v>
      </c>
    </row>
    <row r="20" customFormat="false" ht="30" hidden="false" customHeight="true" outlineLevel="0" collapsed="false">
      <c r="A20" s="15" t="s">
        <v>1046</v>
      </c>
      <c r="B20" s="15" t="s">
        <v>1047</v>
      </c>
      <c r="C20" s="15" t="s">
        <v>1048</v>
      </c>
    </row>
    <row r="21" customFormat="false" ht="30" hidden="false" customHeight="true" outlineLevel="0" collapsed="false">
      <c r="A21" s="15" t="s">
        <v>1049</v>
      </c>
      <c r="B21" s="15" t="s">
        <v>1050</v>
      </c>
      <c r="C21" s="15" t="s">
        <v>1051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32</v>
      </c>
      <c r="B1" s="0" t="s">
        <v>46</v>
      </c>
      <c r="C1" s="0" t="s">
        <v>24</v>
      </c>
    </row>
    <row r="2" customFormat="false" ht="15" hidden="false" customHeight="false" outlineLevel="0" collapsed="false">
      <c r="A2" s="0" t="s">
        <v>33</v>
      </c>
      <c r="B2" s="0" t="s">
        <v>47</v>
      </c>
      <c r="C2" s="0" t="s">
        <v>25</v>
      </c>
    </row>
    <row r="3" customFormat="false" ht="15" hidden="false" customHeight="false" outlineLevel="0" collapsed="false">
      <c r="A3" s="0" t="s">
        <v>34</v>
      </c>
      <c r="B3" s="0" t="s">
        <v>48</v>
      </c>
      <c r="C3" s="0" t="s">
        <v>1052</v>
      </c>
    </row>
    <row r="4" customFormat="false" ht="15" hidden="false" customHeight="false" outlineLevel="0" collapsed="false">
      <c r="A4" s="0" t="s">
        <v>35</v>
      </c>
      <c r="B4" s="0" t="s">
        <v>49</v>
      </c>
    </row>
    <row r="5" customFormat="false" ht="15" hidden="false" customHeight="false" outlineLevel="0" collapsed="false">
      <c r="A5" s="0" t="s">
        <v>36</v>
      </c>
      <c r="B5" s="0" t="s">
        <v>50</v>
      </c>
    </row>
    <row r="6" customFormat="false" ht="15" hidden="false" customHeight="false" outlineLevel="0" collapsed="false">
      <c r="A6" s="0" t="s">
        <v>37</v>
      </c>
      <c r="B6" s="0" t="s">
        <v>51</v>
      </c>
    </row>
    <row r="7" customFormat="false" ht="15" hidden="false" customHeight="false" outlineLevel="0" collapsed="false">
      <c r="A7" s="0" t="s">
        <v>38</v>
      </c>
      <c r="B7" s="0" t="s">
        <v>52</v>
      </c>
    </row>
    <row r="8" customFormat="false" ht="15" hidden="false" customHeight="false" outlineLevel="0" collapsed="false">
      <c r="A8" s="0" t="s">
        <v>39</v>
      </c>
      <c r="B8" s="0" t="s">
        <v>53</v>
      </c>
    </row>
    <row r="9" customFormat="false" ht="15" hidden="false" customHeight="false" outlineLevel="0" collapsed="false">
      <c r="A9" s="0" t="s">
        <v>40</v>
      </c>
      <c r="B9" s="0" t="s">
        <v>54</v>
      </c>
    </row>
    <row r="10" customFormat="false" ht="15" hidden="false" customHeight="false" outlineLevel="0" collapsed="false">
      <c r="A10" s="0" t="s">
        <v>41</v>
      </c>
      <c r="B10" s="0" t="s">
        <v>55</v>
      </c>
    </row>
    <row r="11" customFormat="false" ht="15" hidden="false" customHeight="false" outlineLevel="0" collapsed="false">
      <c r="A11" s="0" t="s">
        <v>42</v>
      </c>
      <c r="B11" s="0" t="s">
        <v>56</v>
      </c>
    </row>
    <row r="12" customFormat="false" ht="15" hidden="false" customHeight="false" outlineLevel="0" collapsed="false">
      <c r="A12" s="0" t="s">
        <v>43</v>
      </c>
      <c r="B12" s="0" t="s">
        <v>57</v>
      </c>
    </row>
    <row r="13" customFormat="false" ht="15" hidden="false" customHeight="false" outlineLevel="0" collapsed="false">
      <c r="B13" s="0" t="s">
        <v>58</v>
      </c>
    </row>
    <row r="14" customFormat="false" ht="15" hidden="false" customHeight="false" outlineLevel="0" collapsed="false">
      <c r="B14" s="0" t="s">
        <v>59</v>
      </c>
    </row>
    <row r="15" customFormat="false" ht="15" hidden="false" customHeight="false" outlineLevel="0" collapsed="false">
      <c r="B15" s="0" t="s">
        <v>60</v>
      </c>
    </row>
    <row r="16" customFormat="false" ht="15" hidden="false" customHeight="false" outlineLevel="0" collapsed="false">
      <c r="B16" s="0" t="s">
        <v>61</v>
      </c>
    </row>
    <row r="17" customFormat="false" ht="15" hidden="false" customHeight="false" outlineLevel="0" collapsed="false">
      <c r="B17" s="0" t="s">
        <v>62</v>
      </c>
    </row>
    <row r="18" customFormat="false" ht="15" hidden="false" customHeight="false" outlineLevel="0" collapsed="false">
      <c r="B18" s="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2026-09-25T07:12:35Z</dcterms:created>
  <dc:creator>openpyxl</dc:creator>
  <dc:description/>
  <dc:language>en-US</dc:language>
  <cp:lastModifiedBy/>
  <dcterms:modified xsi:type="dcterms:W3CDTF">2026-09-25T07:12:35Z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